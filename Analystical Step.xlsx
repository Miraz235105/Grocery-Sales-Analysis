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ersons/person0.xml" ContentType="application/vnd.ms-excel.person+xml"/>
  <Override PartName="/xl/persons/person1.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C:\Users\USER\Desktop\Ada\Academics\Projects\Excel\Prestige Group of Companies' Sales Report for the Year 2014\"/>
    </mc:Choice>
  </mc:AlternateContent>
  <xr:revisionPtr revIDLastSave="0" documentId="13_ncr:1_{08DBF525-1C3F-4718-8142-D160AE761EB0}" xr6:coauthVersionLast="47" xr6:coauthVersionMax="47" xr10:uidLastSave="{00000000-0000-0000-0000-000000000000}"/>
  <bookViews>
    <workbookView xWindow="-120" yWindow="-120" windowWidth="20730" windowHeight="11160" activeTab="1" xr2:uid="{00000000-000D-0000-FFFF-FFFF00000000}"/>
  </bookViews>
  <sheets>
    <sheet name="Data" sheetId="17" r:id="rId1"/>
    <sheet name="Pre-Analysis Board" sheetId="18" r:id="rId2"/>
    <sheet name="In-Analysis Board" sheetId="19" r:id="rId3"/>
    <sheet name="Sales Performance by Sales Reps" sheetId="20" r:id="rId4"/>
    <sheet name="Sales Performance by Region" sheetId="21" r:id="rId5"/>
    <sheet name="Top Five Customers" sheetId="22" r:id="rId6"/>
    <sheet name="Sales Trend Report" sheetId="23" r:id="rId7"/>
    <sheet name="Sales by Product Category" sheetId="32" r:id="rId8"/>
    <sheet name="Transaction by Amount" sheetId="25" r:id="rId9"/>
    <sheet name="Performance by State" sheetId="26" r:id="rId10"/>
    <sheet name="Top 5 cities by Revenue" sheetId="24" r:id="rId11"/>
    <sheet name="Top 6 Ship Cities by Revenue" sheetId="27" r:id="rId12"/>
    <sheet name="Dashboard" sheetId="28" r:id="rId13"/>
    <sheet name="Post Analysis Board" sheetId="30" r:id="rId14"/>
  </sheets>
  <definedNames>
    <definedName name="_xlnm._FilterDatabase" localSheetId="0" hidden="1">Data!$A$1:$Z$370</definedName>
    <definedName name="_xlchart.v5.0" hidden="1">'Performance by State'!$A$18</definedName>
    <definedName name="_xlchart.v5.1" hidden="1">'Performance by State'!$A$19:$A$30</definedName>
    <definedName name="_xlchart.v5.2" hidden="1">'Performance by State'!$B$18</definedName>
    <definedName name="_xlchart.v5.3" hidden="1">'Performance by State'!$B$19:$B$30</definedName>
    <definedName name="_xlchart.v5.4" hidden="1">'Performance by State'!$A$18</definedName>
    <definedName name="_xlchart.v5.5" hidden="1">'Performance by State'!$A$19:$A$30</definedName>
    <definedName name="_xlchart.v5.6" hidden="1">'Performance by State'!$B$18</definedName>
    <definedName name="_xlchart.v5.7" hidden="1">'Performance by State'!$B$19:$B$30</definedName>
    <definedName name="_xlcn.WorksheetConnection_SalesbyProductCategoryD3E151" hidden="1">'Top 5 cities by Revenue'!$D$4:$E$15</definedName>
    <definedName name="_xlcn.WorksheetConnection_SalesbyProductCategoryD4E151" hidden="1">'Top 5 cities by Revenue'!$D$4:$E$15</definedName>
    <definedName name="Slicer_Customer_Name">#N/A</definedName>
    <definedName name="Slicer_Product_Name">#N/A</definedName>
    <definedName name="Slicer_Region">#N/A</definedName>
    <definedName name="Slicer_Salesperson">#N/A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ales by Product Category!$D$4:$E$15"/>
          <x15:modelTable id="Range 1" name="Range 1" connection="WorksheetConnection_Sales by Product Category!$D$3:$E$15"/>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FCA3E6-40B2-490F-BD30-2DE6F20A375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5247505-8287-46E7-81C0-188D9F0D1D05}" name="WorksheetConnection_Sales by Product Category!$D$3:$E$15" type="102" refreshedVersion="7" minRefreshableVersion="5">
    <extLst>
      <ext xmlns:x15="http://schemas.microsoft.com/office/spreadsheetml/2010/11/main" uri="{DE250136-89BD-433C-8126-D09CA5730AF9}">
        <x15:connection id="Range 1">
          <x15:rangePr sourceName="_xlcn.WorksheetConnection_SalesbyProductCategoryD3E151"/>
        </x15:connection>
      </ext>
    </extLst>
  </connection>
  <connection id="3" xr16:uid="{0A3F439D-1E18-4749-A20D-9C5B43E26B5C}" name="WorksheetConnection_Sales by Product Category!$D$4:$E$15" type="102" refreshedVersion="7" minRefreshableVersion="5">
    <extLst>
      <ext xmlns:x15="http://schemas.microsoft.com/office/spreadsheetml/2010/11/main" uri="{DE250136-89BD-433C-8126-D09CA5730AF9}">
        <x15:connection id="Range">
          <x15:rangePr sourceName="_xlcn.WorksheetConnection_SalesbyProductCategoryD4E151"/>
        </x15:connection>
      </ext>
    </extLst>
  </connection>
</connections>
</file>

<file path=xl/sharedStrings.xml><?xml version="1.0" encoding="utf-8"?>
<sst xmlns="http://schemas.openxmlformats.org/spreadsheetml/2006/main" count="5888" uniqueCount="176">
  <si>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</si>
  <si>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</si>
  <si>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</si>
  <si>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</si>
  <si>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</si>
  <si>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</si>
  <si>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</si>
  <si>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</si>
  <si>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</si>
  <si>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</si>
  <si>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</si>
  <si>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</si>
  <si>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</si>
  <si>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</si>
  <si>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</si>
  <si>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</si>
  <si>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</si>
  <si>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</si>
  <si>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</si>
  <si>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</si>
  <si>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</si>
  <si>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</si>
  <si>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</si>
  <si>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</si>
  <si>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</si>
  <si>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</si>
  <si>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</si>
  <si>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</si>
  <si>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</si>
  <si>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</si>
  <si>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</si>
  <si>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</si>
  <si>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</si>
  <si>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</si>
  <si>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</si>
  <si>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</si>
  <si>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</si>
  <si>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</si>
  <si>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</si>
  <si>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</si>
  <si>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</si>
  <si>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</si>
  <si>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</si>
  <si>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</si>
  <si>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</si>
  <si>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</si>
  <si>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</si>
  <si>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</si>
  <si>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</si>
  <si>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</si>
  <si>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</si>
  <si>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</si>
  <si>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</si>
  <si>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</si>
  <si>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</si>
  <si>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</si>
  <si>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</si>
  <si>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</si>
  <si>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</si>
  <si>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</si>
  <si>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</si>
  <si>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</si>
  <si>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</si>
  <si>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</si>
  <si>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</si>
  <si>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</si>
  <si>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</si>
  <si>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</si>
  <si>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</si>
  <si>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</si>
  <si>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</si>
  <si>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</si>
  <si>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</si>
  <si>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</si>
  <si>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</si>
  <si>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</si>
  <si>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</si>
  <si>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</si>
  <si>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</si>
  <si>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</si>
  <si>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</si>
  <si>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</si>
  <si>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</si>
  <si>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</si>
  <si>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</si>
  <si>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</si>
  <si>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</si>
  <si>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</si>
  <si>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</si>
  <si>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</si>
  <si>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</si>
  <si>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</si>
  <si>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</si>
  <si>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</si>
  <si>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</si>
  <si>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</si>
  <si>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</si>
  <si>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</si>
  <si>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</si>
  <si>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</si>
  <si>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</si>
  <si>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</si>
  <si>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</si>
  <si>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</si>
  <si>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</si>
  <si>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</si>
  <si>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</si>
  <si>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</si>
  <si>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</si>
  <si>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</si>
  <si>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</si>
  <si>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</si>
  <si>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</si>
  <si>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</si>
  <si>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</si>
  <si>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</si>
  <si>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</si>
  <si>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</si>
  <si>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</si>
  <si>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</si>
  <si>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</si>
  <si>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</si>
  <si>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</si>
  <si>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</si>
  <si>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</si>
  <si>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</si>
  <si>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</si>
  <si>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</si>
  <si>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</si>
  <si>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</si>
  <si>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</si>
  <si>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</si>
  <si>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</si>
  <si>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</si>
  <si>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</si>
  <si>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</si>
  <si>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</si>
  <si>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</si>
  <si>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</si>
  <si>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</si>
  <si>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</si>
  <si>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</si>
  <si>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</si>
  <si>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</si>
  <si>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</si>
  <si>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</si>
  <si>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</si>
  <si>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</si>
  <si>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</si>
  <si>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</si>
  <si>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</si>
  <si>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</si>
  <si>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 xml:space="preserve">Shipping Fee </t>
  </si>
  <si>
    <t>Row Labels</t>
  </si>
  <si>
    <t>Grand Total</t>
  </si>
  <si>
    <t>Sum of Revenue</t>
  </si>
  <si>
    <t>Jan</t>
  </si>
  <si>
    <t>Feb</t>
  </si>
  <si>
    <t>Mar</t>
  </si>
  <si>
    <t>May</t>
  </si>
  <si>
    <t>Jun</t>
  </si>
  <si>
    <t>Jul</t>
  </si>
  <si>
    <t>Aug</t>
  </si>
  <si>
    <t>Sep</t>
  </si>
  <si>
    <t>Oct</t>
  </si>
  <si>
    <t>Nov</t>
  </si>
  <si>
    <t>Dec</t>
  </si>
  <si>
    <t>0-1000</t>
  </si>
  <si>
    <t>1000-2000</t>
  </si>
  <si>
    <t>2000-3000</t>
  </si>
  <si>
    <t>Count of Revenue</t>
  </si>
  <si>
    <t>3000-4000</t>
  </si>
  <si>
    <t>Apr</t>
  </si>
  <si>
    <t>4000-5000</t>
  </si>
  <si>
    <t>6000-7000</t>
  </si>
  <si>
    <t>7000-8000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</si>
</sst>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mm/dd/yy;@"/>
    <numFmt numFmtId="165" formatCode="&quot;$&quot;#,##0.00"/>
    <numFmt numFmtId="166" formatCode="_([$$-409]* #,##0.00_);_([$$-409]* \(#,##0.00\);_([$$-409]* &quot;-&quot;??_);_(@_)"/>
  </numFmts>
  <fonts count="6" x14ac:knownFonts="1">
    <font>
      <sz val="11"/>
      <color theme="1"/>
      <name val="Calibri"/>
      <family val="2"/>
      <scheme val="minor"/>
    </font>
    <font>
      <sz val="11"/>
      <color theme="1"/>
      <name val="Calibri"/>
      <family val="2"/>
      <scheme val="minor"/>
    </font>
    <font>
      <sz val="11"/>
      <color theme="1"/>
      <name val="Garamond"/>
      <family val="1"/>
    </font>
    <font>
      <sz val="12"/>
      <color theme="1"/>
      <name val="Garamond"/>
      <family val="1"/>
    </font>
    <font>
      <sz val="12"/>
      <color theme="0"/>
      <name val="Garamond"/>
      <family val="1"/>
    </font>
    <font>
      <b/>
      <sz val="11"/>
      <color theme="0"/>
      <name val="Calibri"/>
      <family val="2"/>
      <scheme val="minor"/>
    </font>
  </fonts>
  <fills count="4">
    <fill>
      <patternFill patternType="none"/>
    </fill>
    <fill>
      <patternFill patternType="gray125"/>
    </fill>
    <fill>
      <patternFill patternType="solid">
        <fgColor theme="8" tint="-0.499984740745262"/>
        <bgColor indexed="64"/>
      </patternFill>
    </fill>
    <fill>
      <patternFill patternType="solid">
        <fgColor theme="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1" fillId="0" borderId="0" applyFont="0" applyFill="0" applyBorder="0" applyAlignment="0" applyProtection="0"/>
  </cellStyleXfs>
  <cellXfs count="30">
    <xf numFmtId="0" fontId="0" fillId="0" borderId="0" xfId="0"/>
    <xf numFmtId="0" fontId="0" fillId="0" borderId="0" xfId="0" pivotButton="1"/>
    <xf numFmtId="0" fontId="0" fillId="0" borderId="0" xfId="0" applyAlignment="1">
      <alignment horizontal="left"/>
    </xf>
    <xf numFmtId="44" fontId="0" fillId="0" borderId="0" xfId="1" applyFont="1"/>
    <xf numFmtId="0" fontId="0" fillId="2" borderId="0" xfId="0" applyFill="1"/>
    <xf numFmtId="0" fontId="2" fillId="0" borderId="0" xfId="0" pivotButton="1" applyFont="1"/>
    <xf numFmtId="0" fontId="2" fillId="0" borderId="0" xfId="0" applyFont="1" applyAlignment="1">
      <alignment horizontal="left"/>
    </xf>
    <xf numFmtId="0" fontId="2" fillId="0" borderId="0" xfId="0" applyFont="1"/>
    <xf numFmtId="44" fontId="2" fillId="0" borderId="0" xfId="1" applyFont="1"/>
    <xf numFmtId="164" fontId="2" fillId="0" borderId="0" xfId="0" applyNumberFormat="1" applyFont="1" applyAlignment="1">
      <alignment horizontal="left"/>
    </xf>
    <xf numFmtId="165" fontId="2" fillId="0" borderId="0" xfId="0" applyNumberFormat="1" applyFont="1" applyAlignment="1">
      <alignment horizontal="left"/>
    </xf>
    <xf numFmtId="0" fontId="3" fillId="0" borderId="0" xfId="0" pivotButton="1" applyFont="1"/>
    <xf numFmtId="166" fontId="3" fillId="0" borderId="0" xfId="0" applyNumberFormat="1" applyFont="1"/>
    <xf numFmtId="0" fontId="3" fillId="0" borderId="0" xfId="0" applyFont="1"/>
    <xf numFmtId="0" fontId="3" fillId="0" borderId="0" xfId="0" applyFont="1" applyAlignment="1">
      <alignment horizontal="left"/>
    </xf>
    <xf numFmtId="0" fontId="4" fillId="2" borderId="0" xfId="0" applyFont="1" applyFill="1"/>
    <xf numFmtId="0" fontId="2" fillId="0" borderId="5" xfId="0" applyFont="1" applyBorder="1"/>
    <xf numFmtId="164" fontId="2" fillId="0" borderId="1" xfId="0" applyNumberFormat="1" applyFont="1" applyBorder="1"/>
    <xf numFmtId="0" fontId="2" fillId="0" borderId="1" xfId="0" applyFont="1" applyBorder="1"/>
    <xf numFmtId="44" fontId="2" fillId="0" borderId="1" xfId="1" applyFont="1" applyBorder="1"/>
    <xf numFmtId="44" fontId="2" fillId="0" borderId="6" xfId="1" applyFont="1" applyBorder="1"/>
    <xf numFmtId="0" fontId="2" fillId="0" borderId="7" xfId="0" applyFont="1" applyBorder="1"/>
    <xf numFmtId="164" fontId="2" fillId="0" borderId="8" xfId="0" applyNumberFormat="1" applyFont="1" applyBorder="1"/>
    <xf numFmtId="0" fontId="2" fillId="0" borderId="8" xfId="0" applyFont="1" applyBorder="1"/>
    <xf numFmtId="44" fontId="2" fillId="0" borderId="8" xfId="1" applyFont="1" applyBorder="1"/>
    <xf numFmtId="44" fontId="2" fillId="0" borderId="9" xfId="1" applyFont="1" applyBorder="1"/>
    <xf numFmtId="0" fontId="5" fillId="3" borderId="2" xfId="0" applyFont="1" applyFill="1" applyBorder="1"/>
    <xf numFmtId="0" fontId="5" fillId="3" borderId="3" xfId="0" applyFont="1" applyFill="1" applyBorder="1"/>
    <xf numFmtId="44" fontId="5" fillId="3" borderId="3" xfId="1" applyFont="1" applyFill="1" applyBorder="1"/>
    <xf numFmtId="44" fontId="5" fillId="3" borderId="4" xfId="1" applyFont="1" applyFill="1" applyBorder="1"/>
  </cellXfs>
  <cellStyles count="2">
    <cellStyle name="Currency" xfId="1" builtinId="4"/>
    <cellStyle name="Normal" xfId="0" builtinId="0"/>
  </cellStyles>
  <dxfs count="90">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sz val="12"/>
      </font>
    </dxf>
    <dxf>
      <font>
        <sz val="12"/>
      </font>
    </dxf>
    <dxf>
      <font>
        <sz val="12"/>
      </font>
    </dxf>
    <dxf>
      <font>
        <sz val="12"/>
      </font>
    </dxf>
    <dxf>
      <font>
        <sz val="12"/>
      </font>
    </dxf>
    <dxf>
      <font>
        <sz val="12"/>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numFmt numFmtId="166" formatCode="_([$$-409]* #,##0.00_);_([$$-409]* \(#,##0.00\);_([$$-409]* &quot;-&quot;??_);_(@_)"/>
    </dxf>
    <dxf>
      <numFmt numFmtId="166" formatCode="_([$$-409]* #,##0.00_);_([$$-409]* \(#,##0.00\);_([$$-409]* &quot;-&quot;??_);_(@_)"/>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b val="0"/>
        <i val="0"/>
        <strike val="0"/>
        <condense val="0"/>
        <extend val="0"/>
        <outline val="0"/>
        <shadow val="0"/>
        <u val="none"/>
        <vertAlign val="baseline"/>
        <sz val="11"/>
        <color theme="1"/>
        <name val="Garamond"/>
        <family val="1"/>
        <scheme val="none"/>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numFmt numFmtId="164" formatCode="mm/dd/yy;@"/>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numFmt numFmtId="164" formatCode="mm/dd/yy;@"/>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aramond"/>
        <family val="1"/>
        <scheme val="none"/>
      </font>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3"/>
        </patternFill>
      </fill>
      <border diagonalUp="0" diagonalDown="0" outline="0">
        <left style="thin">
          <color indexed="64"/>
        </left>
        <right style="thin">
          <color indexed="64"/>
        </right>
        <top/>
        <bottom/>
      </border>
    </dxf>
    <dxf>
      <font>
        <b val="0"/>
        <i val="0"/>
        <color theme="8" tint="-0.499984740745262"/>
        <name val="Garamond"/>
        <family val="1"/>
        <scheme val="none"/>
      </font>
      <border>
        <left style="thin">
          <color theme="8" tint="-0.499984740745262"/>
        </left>
        <right style="thin">
          <color theme="8" tint="-0.499984740745262"/>
        </right>
        <top style="thin">
          <color theme="8" tint="-0.499984740745262"/>
        </top>
        <bottom style="thin">
          <color theme="8" tint="-0.499984740745262"/>
        </bottom>
        <vertical/>
        <horizontal/>
      </border>
    </dxf>
    <dxf>
      <font>
        <sz val="12"/>
        <color theme="8" tint="-0.499984740745262"/>
        <name val="Garamond"/>
        <family val="1"/>
        <scheme val="none"/>
      </font>
      <border>
        <left style="thin">
          <color theme="8" tint="-0.499984740745262"/>
        </left>
        <right style="thin">
          <color theme="8" tint="-0.499984740745262"/>
        </right>
        <top style="thin">
          <color theme="8" tint="-0.499984740745262"/>
        </top>
        <bottom style="thin">
          <color theme="8" tint="-0.499984740745262"/>
        </bottom>
        <vertical/>
        <horizontal/>
      </border>
    </dxf>
    <dxf>
      <font>
        <b val="0"/>
        <i val="0"/>
        <sz val="22"/>
        <color theme="8" tint="-0.499984740745262"/>
        <name val="Garamond"/>
        <family val="1"/>
        <scheme val="none"/>
      </font>
      <border>
        <left style="thin">
          <color theme="8" tint="-0.499984740745262"/>
        </left>
        <right style="thin">
          <color theme="8" tint="-0.499984740745262"/>
        </right>
        <top style="thin">
          <color theme="8" tint="-0.499984740745262"/>
        </top>
        <bottom style="thin">
          <color theme="8" tint="-0.499984740745262"/>
        </bottom>
        <vertical/>
        <horizontal/>
      </border>
    </dxf>
    <dxf>
      <font>
        <sz val="20"/>
        <color theme="8" tint="-0.499984740745262"/>
        <name val="Garamond"/>
        <family val="1"/>
        <scheme val="none"/>
      </font>
      <border>
        <left style="thin">
          <color theme="8" tint="-0.499984740745262"/>
        </left>
        <right style="thin">
          <color theme="8" tint="-0.499984740745262"/>
        </right>
        <top style="thin">
          <color theme="8" tint="-0.499984740745262"/>
        </top>
        <bottom style="thin">
          <color theme="8" tint="-0.499984740745262"/>
        </bottom>
        <vertical/>
        <horizontal/>
      </border>
    </dxf>
  </dxfs>
  <tableStyles count="2" defaultTableStyle="TableStyleMedium2" defaultPivotStyle="PivotStyleLight16">
    <tableStyle name="SlicerStyleDarkBlue" pivot="0" table="0" count="10" xr9:uid="{9AE24269-1177-48F2-A8B9-4B5C0AA26EEA}">
      <tableStyleElement type="wholeTable" dxfId="89"/>
      <tableStyleElement type="headerRow" dxfId="88"/>
    </tableStyle>
    <tableStyle name="SlicerStyleDarkBlue 2" pivot="0" table="0" count="10" xr9:uid="{0ED8563F-21A1-4A93-8B75-57DEB6C2EAA4}">
      <tableStyleElement type="wholeTable" dxfId="87"/>
      <tableStyleElement type="headerRow" dxfId="86"/>
    </tableStyle>
  </tableStyles>
  <extLst>
    <ext xmlns:x14="http://schemas.microsoft.com/office/spreadsheetml/2009/9/main" uri="{46F421CA-312F-682f-3DD2-61675219B42D}">
      <x14:dxfs count="16">
        <dxf>
          <font>
            <color theme="8" tint="-0.499984740745262"/>
          </font>
          <fill>
            <patternFill patternType="solid">
              <fgColor auto="1"/>
              <bgColor theme="8" tint="0.79998168889431442"/>
            </patternFill>
          </fill>
          <border>
            <left style="thin">
              <color theme="8" tint="0.79998168889431442"/>
            </left>
            <right style="thin">
              <color theme="8" tint="0.79998168889431442"/>
            </right>
            <top style="thin">
              <color theme="8" tint="0.79998168889431442"/>
            </top>
            <bottom style="thin">
              <color theme="8" tint="0.79998168889431442"/>
            </bottom>
            <vertical/>
            <horizontal/>
          </border>
        </dxf>
        <dxf>
          <font>
            <color theme="8" tint="-0.499984740745262"/>
          </font>
          <fill>
            <patternFill patternType="solid">
              <fgColor auto="1"/>
              <bgColor rgb="FF002060"/>
            </patternFill>
          </fill>
          <border>
            <left style="thin">
              <color theme="8" tint="-0.499984740745262"/>
            </left>
            <right style="thin">
              <color theme="8" tint="-0.499984740745262"/>
            </right>
            <top style="thin">
              <color theme="8" tint="-0.499984740745262"/>
            </top>
            <bottom style="thin">
              <color theme="8" tint="-0.499984740745262"/>
            </bottom>
            <vertical/>
            <horizontal/>
          </border>
        </dxf>
        <dxf>
          <font>
            <color theme="8" tint="-0.499984740745262"/>
          </font>
          <fill>
            <patternFill patternType="solid">
              <fgColor auto="1"/>
              <bgColor theme="8" tint="0.79998168889431442"/>
            </patternFill>
          </fill>
          <border>
            <left style="thin">
              <color theme="8" tint="0.79998168889431442"/>
            </left>
            <right style="thin">
              <color theme="8" tint="0.79998168889431442"/>
            </right>
            <top style="thin">
              <color theme="8" tint="0.79998168889431442"/>
            </top>
            <bottom style="thin">
              <color theme="8" tint="0.79998168889431442"/>
            </bottom>
            <vertical/>
            <horizontal/>
          </border>
        </dxf>
        <dxf>
          <font>
            <color theme="8" tint="-0.499984740745262"/>
          </font>
          <fill>
            <patternFill patternType="solid">
              <fgColor auto="1"/>
              <bgColor theme="8" tint="0.79998168889431442"/>
            </patternFill>
          </fill>
          <border>
            <left style="thin">
              <color theme="8" tint="0.79998168889431442"/>
            </left>
            <right style="thin">
              <color theme="8" tint="0.79998168889431442"/>
            </right>
            <top style="thin">
              <color theme="8" tint="0.79998168889431442"/>
            </top>
            <bottom style="thin">
              <color theme="8" tint="0.79998168889431442"/>
            </bottom>
            <vertical/>
            <horizontal/>
          </border>
        </dxf>
        <dxf>
          <font>
            <color theme="8" tint="-0.499984740745262"/>
          </font>
          <fill>
            <patternFill patternType="solid">
              <fgColor theme="8" tint="0.59999389629810485"/>
              <bgColor rgb="FF002060"/>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tint="-0.499984740745262"/>
              <bgColor rgb="FF002060"/>
            </patternFill>
          </fill>
          <border>
            <left style="thin">
              <color theme="8" tint="-0.499984740745262"/>
            </left>
            <right style="thin">
              <color theme="8" tint="-0.499984740745262"/>
            </right>
            <top style="thin">
              <color theme="8" tint="-0.499984740745262"/>
            </top>
            <bottom style="thin">
              <color theme="8" tint="-0.499984740745262"/>
            </bottom>
            <vertical/>
            <horizontal/>
          </border>
        </dxf>
        <dxf>
          <font>
            <color theme="8" tint="0.79998168889431442"/>
          </font>
          <fill>
            <patternFill patternType="solid">
              <fgColor rgb="FFDFDFDF"/>
              <bgColor theme="8" tint="0.79998168889431442"/>
            </patternFill>
          </fill>
          <border>
            <left style="thin">
              <color rgb="FFDFDFDF"/>
            </left>
            <right style="thin">
              <color rgb="FFDFDFDF"/>
            </right>
            <top style="thin">
              <color rgb="FFDFDFDF"/>
            </top>
            <bottom style="thin">
              <color rgb="FFDFDFDF"/>
            </bottom>
            <vertical/>
            <horizontal/>
          </border>
        </dxf>
        <dxf>
          <font>
            <color theme="8" tint="-0.499984740745262"/>
          </font>
          <fill>
            <patternFill patternType="none">
              <fgColor indexed="64"/>
              <bgColor auto="1"/>
            </patternFill>
          </fill>
          <border>
            <left style="thin">
              <color theme="8" tint="0.79998168889431442"/>
            </left>
            <right style="thin">
              <color theme="8" tint="0.79998168889431442"/>
            </right>
            <top style="thin">
              <color theme="8" tint="0.79998168889431442"/>
            </top>
            <bottom style="thin">
              <color theme="8" tint="0.79998168889431442"/>
            </bottom>
            <vertical/>
            <horizontal/>
          </border>
        </dxf>
        <dxf>
          <font>
            <color theme="8" tint="-0.499984740745262"/>
          </font>
          <fill>
            <patternFill patternType="solid">
              <fgColor auto="1"/>
              <bgColor theme="8" tint="0.79998168889431442"/>
            </patternFill>
          </fill>
          <border>
            <left style="thin">
              <color theme="8" tint="0.79998168889431442"/>
            </left>
            <right style="thin">
              <color theme="8" tint="0.79998168889431442"/>
            </right>
            <top style="thin">
              <color theme="8" tint="0.79998168889431442"/>
            </top>
            <bottom style="thin">
              <color theme="8" tint="0.79998168889431442"/>
            </bottom>
            <vertical/>
            <horizontal/>
          </border>
        </dxf>
        <dxf>
          <font>
            <color theme="8" tint="-0.499984740745262"/>
          </font>
          <fill>
            <patternFill patternType="solid">
              <fgColor auto="1"/>
              <bgColor rgb="FF002060"/>
            </patternFill>
          </fill>
          <border>
            <left style="thin">
              <color theme="8" tint="-0.499984740745262"/>
            </left>
            <right style="thin">
              <color theme="8" tint="-0.499984740745262"/>
            </right>
            <top style="thin">
              <color theme="8" tint="-0.499984740745262"/>
            </top>
            <bottom style="thin">
              <color theme="8" tint="-0.499984740745262"/>
            </bottom>
            <vertical/>
            <horizontal/>
          </border>
        </dxf>
        <dxf>
          <font>
            <color theme="8" tint="-0.499984740745262"/>
          </font>
          <fill>
            <patternFill patternType="solid">
              <fgColor auto="1"/>
              <bgColor theme="8" tint="0.79998168889431442"/>
            </patternFill>
          </fill>
          <border>
            <left style="thin">
              <color theme="8" tint="0.79998168889431442"/>
            </left>
            <right style="thin">
              <color theme="8" tint="0.79998168889431442"/>
            </right>
            <top style="thin">
              <color theme="8" tint="0.79998168889431442"/>
            </top>
            <bottom style="thin">
              <color theme="8" tint="0.79998168889431442"/>
            </bottom>
            <vertical/>
            <horizontal/>
          </border>
        </dxf>
        <dxf>
          <font>
            <color theme="8" tint="-0.499984740745262"/>
          </font>
          <fill>
            <patternFill patternType="solid">
              <fgColor auto="1"/>
              <bgColor theme="8" tint="0.79998168889431442"/>
            </patternFill>
          </fill>
          <border>
            <left style="thin">
              <color theme="8" tint="0.79998168889431442"/>
            </left>
            <right style="thin">
              <color theme="8" tint="0.79998168889431442"/>
            </right>
            <top style="thin">
              <color theme="8" tint="0.79998168889431442"/>
            </top>
            <bottom style="thin">
              <color theme="8" tint="0.79998168889431442"/>
            </bottom>
            <vertical/>
            <horizontal/>
          </border>
        </dxf>
        <dxf>
          <font>
            <color theme="8" tint="-0.499984740745262"/>
          </font>
          <fill>
            <patternFill patternType="solid">
              <fgColor theme="8" tint="0.59999389629810485"/>
              <bgColor rgb="FF002060"/>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tint="-0.499984740745262"/>
              <bgColor rgb="FF002060"/>
            </patternFill>
          </fill>
          <border>
            <left style="thin">
              <color theme="8" tint="-0.499984740745262"/>
            </left>
            <right style="thin">
              <color theme="8" tint="-0.499984740745262"/>
            </right>
            <top style="thin">
              <color theme="8" tint="-0.499984740745262"/>
            </top>
            <bottom style="thin">
              <color theme="8" tint="-0.499984740745262"/>
            </bottom>
            <vertical/>
            <horizontal/>
          </border>
        </dxf>
        <dxf>
          <font>
            <color theme="8" tint="0.79998168889431442"/>
          </font>
          <fill>
            <patternFill patternType="solid">
              <fgColor rgb="FFDFDFDF"/>
              <bgColor theme="8" tint="0.79998168889431442"/>
            </patternFill>
          </fill>
          <border>
            <left style="thin">
              <color rgb="FFDFDFDF"/>
            </left>
            <right style="thin">
              <color rgb="FFDFDFDF"/>
            </right>
            <top style="thin">
              <color rgb="FFDFDFDF"/>
            </top>
            <bottom style="thin">
              <color rgb="FFDFDFDF"/>
            </bottom>
            <vertical/>
            <horizontal/>
          </border>
        </dxf>
        <dxf>
          <font>
            <color theme="8" tint="-0.499984740745262"/>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Blue">
        <x14:slicerStyle name="SlicerStyleDarkBlu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Blu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powerPivotData" Target="model/item.data"/><Relationship Id="rId33" Type="http://schemas.microsoft.com/office/2017/10/relationships/person" Target="persons/person0.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microsoft.com/office/2017/10/relationships/person" Target="persons/person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[Analystical Step.xlsx]Sales Performance by Sales Reps!PivotTable1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a:latin typeface="Garamond" panose="02020404030301010803" pitchFamily="18" charset="0"/>
              </a:rPr>
              <a:t>Sales Performance</a:t>
            </a:r>
            <a:r>
              <a:rPr lang="en-US" baseline="0">
                <a:latin typeface="Garamond" panose="02020404030301010803" pitchFamily="18" charset="0"/>
              </a:rPr>
              <a:t> Analysis by Reps</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s>
    <c:plotArea>
      <c:layout/>
      <c:barChart>
        <c:barDir val="bar"/>
        <c:grouping val="clustered"/>
        <c:varyColors val="0"/>
        <c:ser>
          <c:idx val="0"/>
          <c:order val="0"/>
          <c:tx>
            <c:strRef>
              <c:f>'Sales Performance by Sales Reps'!$B$3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E14E-43FD-A9E2-BF59CEA8F967}"/>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E14E-43FD-A9E2-BF59CEA8F967}"/>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4-E14E-43FD-A9E2-BF59CEA8F967}"/>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E14E-43FD-A9E2-BF59CEA8F967}"/>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E14E-43FD-A9E2-BF59CEA8F967}"/>
              </c:ext>
            </c:extLst>
          </c:dPt>
          <c:dPt>
            <c:idx val="5"/>
            <c:invertIfNegative val="0"/>
            <c:bubble3D val="0"/>
            <c:extLst>
              <c:ext xmlns:c16="http://schemas.microsoft.com/office/drawing/2014/chart" uri="{C3380CC4-5D6E-409C-BE32-E72D297353CC}">
                <c16:uniqueId val="{00000007-E14E-43FD-A9E2-BF59CEA8F967}"/>
              </c:ext>
            </c:extLst>
          </c:dPt>
          <c:dPt>
            <c:idx val="6"/>
            <c:invertIfNegative val="0"/>
            <c:bubble3D val="0"/>
            <c:extLst>
              <c:ext xmlns:c16="http://schemas.microsoft.com/office/drawing/2014/chart" uri="{C3380CC4-5D6E-409C-BE32-E72D297353CC}">
                <c16:uniqueId val="{00000008-E14E-43FD-A9E2-BF59CEA8F967}"/>
              </c:ext>
            </c:extLst>
          </c:dPt>
          <c:dPt>
            <c:idx val="7"/>
            <c:invertIfNegative val="0"/>
            <c:bubble3D val="0"/>
            <c:extLst>
              <c:ext xmlns:c16="http://schemas.microsoft.com/office/drawing/2014/chart" uri="{C3380CC4-5D6E-409C-BE32-E72D297353CC}">
                <c16:uniqueId val="{00000009-E14E-43FD-A9E2-BF59CEA8F967}"/>
              </c:ext>
            </c:extLst>
          </c:dPt>
          <c:dLbls>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'Sales Performance by Sales Reps'!$A$4:$A$9</c:f>
              <c:strCache>
                <c:ptCount val="5"/>
                <c:pt idx="0">
                  <c:v>Nancy Freehafer</c:v>
                </c:pt>
                <c:pt idx="1">
                  <c:v>Anne Larsen</c:v>
                </c:pt>
                <c:pt idx="2">
                  <c:v>Andrew Cencini</c:v>
                </c:pt>
                <c:pt idx="3">
                  <c:v>Mariya Sergienko</c:v>
                </c:pt>
                <c:pt idx="4">
                  <c:v>Laura Giussani</c:v>
                </c:pt>
              </c:strCache>
            </c:strRef>
          </c:cat>
          <c:val>
            <c:numRef>
              <c:f>'Sales Performance by Sales Reps'!$B$4:$B$9</c:f>
              <c:numCache>
                <c:formatCode>_("$"* #,##0.00_);_("$"* \(#,##0.00\);_("$"* "-"??_);_(@_)</c:formatCode>
                <c:ptCount val="5"/>
                <c:pt idx="0">
                  <c:v>104252.33999999997</c:v>
                </c:pt>
                <c:pt idx="1">
                  <c:v>93858.329999999987</c:v>
                </c:pt>
                <c:pt idx="2">
                  <c:v>67180.5</c:v>
                </c:pt>
                <c:pt idx="3">
                  <c:v>42370.880000000005</c:v>
                </c:pt>
                <c:pt idx="4">
                  <c:v>41095.01</c:v>
                </c:pt>
              </c:numCache>
            </c:numRef>
          </c:val>
          <c:extLst>
            <c:ext xmlns:c16="http://schemas.microsoft.com/office/drawing/2014/chart" uri="{C3380CC4-5D6E-409C-BE32-E72D297353CC}">
              <c16:uniqueId val="{00000000-E14E-43FD-A9E2-BF59CEA8F967}"/>
            </c:ext>
          </c:extLst>
        </c:ser>
        <c:dLbls>
          <c:dLblPos val="outEnd"/>
          <c:showLegendKey val="0"/>
          <c:showVal val="1"/>
          <c:showCatName val="0"/>
          <c:showSerName val="0"/>
          <c:showPercent val="0"/>
          <c:showBubbleSize val="0"/>
        </c:dLbls>
        <c:gapWidth val="20"/>
        <c:axId val="1977391231"/>
        <c:axId val="1977391647"/>
      </c:barChart>
      <c:catAx>
        <c:axId val="1977391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0" i="0" u="none" strike="noStrike" kern="1200" spc="0" baseline="0">
                <a:solidFill>
                  <a:sysClr val="windowText" lastClr="000000">
                    <a:lumMod val="65000"/>
                    <a:lumOff val="35000"/>
                  </a:sysClr>
                </a:solidFill>
                <a:latin typeface="Garamond" panose="02020404030301010803" pitchFamily="18" charset="0"/>
                <a:ea typeface="+mn-ea"/>
                <a:cs typeface="+mn-cs"/>
              </a:defRPr>
            </a:pPr>
            <a:endParaRPr lang="en-US"/>
          </a:p>
        </c:txPr>
        <c:crossAx val="1977391647"/>
        <c:crosses val="autoZero"/>
        <c:auto val="1"/>
        <c:lblAlgn val="ctr"/>
        <c:lblOffset val="100"/>
        <c:noMultiLvlLbl val="0"/>
      </c:catAx>
      <c:valAx>
        <c:axId val="1977391647"/>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97739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[Analystical Step.xlsx]Sales Performance by Region!PivotTable1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a:latin typeface="Garamond" panose="02020404030301010803" pitchFamily="18" charset="0"/>
              </a:rPr>
              <a:t>Sales Performance</a:t>
            </a:r>
            <a:r>
              <a:rPr lang="en-US" baseline="0">
                <a:latin typeface="Garamond" panose="02020404030301010803" pitchFamily="18" charset="0"/>
              </a:rPr>
              <a:t> Analysis by Region</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5">
              <a:lumMod val="50000"/>
            </a:schemeClr>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s>
    <c:plotArea>
      <c:layout/>
      <c:pieChart>
        <c:varyColors val="1"/>
        <c:ser>
          <c:idx val="0"/>
          <c:order val="0"/>
          <c:tx>
            <c:strRef>
              <c:f>'Sales Performance by Region'!$B$3</c:f>
              <c:strCache>
                <c:ptCount val="1"/>
                <c:pt idx="0">
                  <c:v>Total</c:v>
                </c:pt>
              </c:strCache>
            </c:strRef>
          </c:tx>
          <c:spPr>
            <a:solidFill>
              <a:schemeClr val="accent5">
                <a:lumMod val="50000"/>
              </a:schemeClr>
            </a:solidFill>
          </c:spPr>
          <c:dPt>
            <c:idx val="0"/>
            <c:bubble3D val="0"/>
            <c:spPr>
              <a:solidFill>
                <a:schemeClr val="accent5">
                  <a:lumMod val="50000"/>
                </a:schemeClr>
              </a:solidFill>
              <a:ln>
                <a:noFill/>
              </a:ln>
              <a:effectLst/>
            </c:spPr>
            <c:extLst>
              <c:ext xmlns:c16="http://schemas.microsoft.com/office/drawing/2014/chart" uri="{C3380CC4-5D6E-409C-BE32-E72D297353CC}">
                <c16:uniqueId val="{00000001-CB6F-4374-B700-ECA8D94427BF}"/>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CB6F-4374-B700-ECA8D94427BF}"/>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CB6F-4374-B700-ECA8D94427BF}"/>
              </c:ext>
            </c:extLst>
          </c:dPt>
          <c:dPt>
            <c:idx val="3"/>
            <c:bubble3D val="0"/>
            <c:spPr>
              <a:solidFill>
                <a:schemeClr val="accent5">
                  <a:lumMod val="40000"/>
                  <a:lumOff val="60000"/>
                </a:schemeClr>
              </a:solidFill>
              <a:ln>
                <a:noFill/>
              </a:ln>
              <a:effectLst/>
            </c:spPr>
            <c:extLst>
              <c:ext xmlns:c16="http://schemas.microsoft.com/office/drawing/2014/chart" uri="{C3380CC4-5D6E-409C-BE32-E72D297353CC}">
                <c16:uniqueId val="{00000007-CB6F-4374-B700-ECA8D94427BF}"/>
              </c:ext>
            </c:extLst>
          </c:dPt>
          <c:dPt>
            <c:idx val="4"/>
            <c:bubble3D val="0"/>
            <c:spPr>
              <a:solidFill>
                <a:schemeClr val="accent5">
                  <a:lumMod val="50000"/>
                </a:schemeClr>
              </a:solidFill>
              <a:ln>
                <a:noFill/>
              </a:ln>
              <a:effectLst/>
            </c:spPr>
            <c:extLst>
              <c:ext xmlns:c16="http://schemas.microsoft.com/office/drawing/2014/chart" uri="{C3380CC4-5D6E-409C-BE32-E72D297353CC}">
                <c16:uniqueId val="{00000009-CB6F-4374-B700-ECA8D94427BF}"/>
              </c:ext>
            </c:extLst>
          </c:dPt>
          <c:dPt>
            <c:idx val="5"/>
            <c:bubble3D val="0"/>
            <c:spPr>
              <a:solidFill>
                <a:schemeClr val="accent5">
                  <a:lumMod val="50000"/>
                </a:schemeClr>
              </a:solidFill>
              <a:ln>
                <a:noFill/>
              </a:ln>
              <a:effectLst/>
            </c:spPr>
            <c:extLst>
              <c:ext xmlns:c16="http://schemas.microsoft.com/office/drawing/2014/chart" uri="{C3380CC4-5D6E-409C-BE32-E72D297353CC}">
                <c16:uniqueId val="{0000000B-CB6F-4374-B700-ECA8D94427BF}"/>
              </c:ext>
            </c:extLst>
          </c:dPt>
          <c:dPt>
            <c:idx val="6"/>
            <c:bubble3D val="0"/>
            <c:spPr>
              <a:solidFill>
                <a:schemeClr val="accent5">
                  <a:lumMod val="50000"/>
                </a:schemeClr>
              </a:solidFill>
              <a:ln>
                <a:noFill/>
              </a:ln>
              <a:effectLst/>
            </c:spPr>
            <c:extLst>
              <c:ext xmlns:c16="http://schemas.microsoft.com/office/drawing/2014/chart" uri="{C3380CC4-5D6E-409C-BE32-E72D297353CC}">
                <c16:uniqueId val="{0000000D-CB6F-4374-B700-ECA8D94427BF}"/>
              </c:ext>
            </c:extLst>
          </c:dPt>
          <c:dPt>
            <c:idx val="7"/>
            <c:bubble3D val="0"/>
            <c:spPr>
              <a:solidFill>
                <a:schemeClr val="accent5">
                  <a:lumMod val="50000"/>
                </a:schemeClr>
              </a:solidFill>
              <a:ln>
                <a:noFill/>
              </a:ln>
              <a:effectLst/>
            </c:spPr>
            <c:extLst>
              <c:ext xmlns:c16="http://schemas.microsoft.com/office/drawing/2014/chart" uri="{C3380CC4-5D6E-409C-BE32-E72D297353CC}">
                <c16:uniqueId val="{0000000F-CB6F-4374-B700-ECA8D94427BF}"/>
              </c:ext>
            </c:extLst>
          </c:dPt>
          <c:dLbls>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'Sales Performance by Region'!$A$4:$A$8</c:f>
              <c:strCache>
                <c:ptCount val="4"/>
                <c:pt idx="0">
                  <c:v>North</c:v>
                </c:pt>
                <c:pt idx="1">
                  <c:v>East</c:v>
                </c:pt>
                <c:pt idx="2">
                  <c:v>South</c:v>
                </c:pt>
                <c:pt idx="3">
                  <c:v>West</c:v>
                </c:pt>
              </c:strCache>
            </c:strRef>
          </c:cat>
          <c:val>
            <c:numRef>
              <c:f>'Sales Performance by Region'!$B$4:$B$8</c:f>
              <c:numCache>
                <c:formatCode>_("$"* #,##0.00_);_("$"* \(#,##0.00\);_("$"* "-"??_);_(@_)</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10-CB6F-4374-B700-ECA8D94427BF}"/>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[Analystical Step.xlsx]Top Five Customers!PivotTable1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a:latin typeface="Garamond" panose="02020404030301010803" pitchFamily="18" charset="0"/>
              </a:rPr>
              <a:t>Top Five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5">
              <a:lumMod val="5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60000"/>
              <a:lumOff val="40000"/>
            </a:schemeClr>
          </a:solidFill>
          <a:ln>
            <a:noFill/>
          </a:ln>
          <a:effectLst/>
        </c:spPr>
      </c:pivotFmt>
      <c:pivotFmt>
        <c:idx val="24"/>
        <c:spPr>
          <a:solidFill>
            <a:schemeClr val="accent5">
              <a:lumMod val="40000"/>
              <a:lumOff val="6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5">
              <a:lumMod val="20000"/>
              <a:lumOff val="80000"/>
            </a:schemeClr>
          </a:solidFill>
          <a:ln>
            <a:noFill/>
          </a:ln>
          <a:effectLst/>
        </c:spPr>
      </c:pivotFmt>
    </c:pivotFmts>
    <c:plotArea>
      <c:layout/>
      <c:barChart>
        <c:barDir val="bar"/>
        <c:grouping val="clustered"/>
        <c:varyColors val="0"/>
        <c:ser>
          <c:idx val="0"/>
          <c:order val="0"/>
          <c:tx>
            <c:strRef>
              <c:f>'Top Five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5415-43F7-85E1-602E981C2036}"/>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5415-43F7-85E1-602E981C2036}"/>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5415-43F7-85E1-602E981C2036}"/>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5415-43F7-85E1-602E981C2036}"/>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5415-43F7-85E1-602E981C2036}"/>
              </c:ext>
            </c:extLst>
          </c:dPt>
          <c:dPt>
            <c:idx val="5"/>
            <c:invertIfNegative val="0"/>
            <c:bubble3D val="0"/>
            <c:extLst>
              <c:ext xmlns:c16="http://schemas.microsoft.com/office/drawing/2014/chart" uri="{C3380CC4-5D6E-409C-BE32-E72D297353CC}">
                <c16:uniqueId val="{0000000B-5415-43F7-85E1-602E981C2036}"/>
              </c:ext>
            </c:extLst>
          </c:dPt>
          <c:dPt>
            <c:idx val="6"/>
            <c:invertIfNegative val="0"/>
            <c:bubble3D val="0"/>
            <c:extLst>
              <c:ext xmlns:c16="http://schemas.microsoft.com/office/drawing/2014/chart" uri="{C3380CC4-5D6E-409C-BE32-E72D297353CC}">
                <c16:uniqueId val="{0000000D-5415-43F7-85E1-602E981C2036}"/>
              </c:ext>
            </c:extLst>
          </c:dPt>
          <c:dPt>
            <c:idx val="7"/>
            <c:invertIfNegative val="0"/>
            <c:bubble3D val="0"/>
            <c:extLst>
              <c:ext xmlns:c16="http://schemas.microsoft.com/office/drawing/2014/chart" uri="{C3380CC4-5D6E-409C-BE32-E72D297353CC}">
                <c16:uniqueId val="{0000000F-5415-43F7-85E1-602E981C2036}"/>
              </c:ext>
            </c:extLst>
          </c:dPt>
          <c:dPt>
            <c:idx val="8"/>
            <c:invertIfNegative val="0"/>
            <c:bubble3D val="0"/>
            <c:extLst>
              <c:ext xmlns:c16="http://schemas.microsoft.com/office/drawing/2014/chart" uri="{C3380CC4-5D6E-409C-BE32-E72D297353CC}">
                <c16:uniqueId val="{00000013-5415-43F7-85E1-602E981C2036}"/>
              </c:ext>
            </c:extLst>
          </c:dPt>
          <c:dPt>
            <c:idx val="9"/>
            <c:invertIfNegative val="0"/>
            <c:bubble3D val="0"/>
            <c:extLst>
              <c:ext xmlns:c16="http://schemas.microsoft.com/office/drawing/2014/chart" uri="{C3380CC4-5D6E-409C-BE32-E72D297353CC}">
                <c16:uniqueId val="{00000012-5415-43F7-85E1-602E981C2036}"/>
              </c:ext>
            </c:extLst>
          </c:dPt>
          <c:dLbls>
            <c:dLbl>
              <c:idx val="0"/>
              <c:layout>
                <c:manualLayout>
                  <c:x val="0.24581005586592178"/>
                  <c:y val="7.373801041059813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5-43F7-85E1-602E981C2036}"/>
                </c:ext>
              </c:extLst>
            </c:dLbl>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'Top Five Customers'!$A$4:$A$9</c:f>
              <c:strCache>
                <c:ptCount val="5"/>
                <c:pt idx="0">
                  <c:v>Company D</c:v>
                </c:pt>
                <c:pt idx="1">
                  <c:v>Company H</c:v>
                </c:pt>
                <c:pt idx="2">
                  <c:v>Company BB</c:v>
                </c:pt>
                <c:pt idx="3">
                  <c:v>Company F</c:v>
                </c:pt>
                <c:pt idx="4">
                  <c:v>Company A</c:v>
                </c:pt>
              </c:strCache>
            </c:strRef>
          </c:cat>
          <c:val>
            <c:numRef>
              <c:f>'Top Five Customers'!$B$4:$B$9</c:f>
              <c:numCache>
                <c:formatCode>_("$"* #,##0.00_);_("$"* \(#,##0.00\);_("$"* "-"??_);_(@_)</c:formatCode>
                <c:ptCount val="5"/>
                <c:pt idx="0">
                  <c:v>67180.5</c:v>
                </c:pt>
                <c:pt idx="1">
                  <c:v>50208.35</c:v>
                </c:pt>
                <c:pt idx="2">
                  <c:v>43713</c:v>
                </c:pt>
                <c:pt idx="3">
                  <c:v>37428</c:v>
                </c:pt>
                <c:pt idx="4">
                  <c:v>36839.990000000005</c:v>
                </c:pt>
              </c:numCache>
            </c:numRef>
          </c:val>
          <c:extLst>
            <c:ext xmlns:c16="http://schemas.microsoft.com/office/drawing/2014/chart" uri="{C3380CC4-5D6E-409C-BE32-E72D297353CC}">
              <c16:uniqueId val="{00000010-5415-43F7-85E1-602E981C2036}"/>
            </c:ext>
          </c:extLst>
        </c:ser>
        <c:dLbls>
          <c:showLegendKey val="0"/>
          <c:showVal val="1"/>
          <c:showCatName val="0"/>
          <c:showSerName val="0"/>
          <c:showPercent val="0"/>
          <c:showBubbleSize val="0"/>
        </c:dLbls>
        <c:gapWidth val="20"/>
        <c:axId val="1977391231"/>
        <c:axId val="1977391647"/>
      </c:barChart>
      <c:catAx>
        <c:axId val="1977391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0" i="0" u="none" strike="noStrike" kern="1200" spc="0" baseline="0">
                <a:solidFill>
                  <a:sysClr val="windowText" lastClr="000000">
                    <a:lumMod val="65000"/>
                    <a:lumOff val="35000"/>
                  </a:sysClr>
                </a:solidFill>
                <a:latin typeface="Garamond" panose="02020404030301010803" pitchFamily="18" charset="0"/>
                <a:ea typeface="+mn-ea"/>
                <a:cs typeface="+mn-cs"/>
              </a:defRPr>
            </a:pPr>
            <a:endParaRPr lang="en-US"/>
          </a:p>
        </c:txPr>
        <c:crossAx val="1977391647"/>
        <c:crosses val="autoZero"/>
        <c:auto val="1"/>
        <c:lblAlgn val="ctr"/>
        <c:lblOffset val="100"/>
        <c:noMultiLvlLbl val="0"/>
      </c:catAx>
      <c:valAx>
        <c:axId val="1977391647"/>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97739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[Analystical Step.xlsx]Sales Trend Report!PivotTable1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a:latin typeface="Garamond" panose="02020404030301010803" pitchFamily="18" charset="0"/>
              </a:rPr>
              <a:t>Sales Trend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ln w="28575" cap="rnd">
            <a:solidFill>
              <a:schemeClr val="accent5">
                <a:lumMod val="50000"/>
              </a:schemeClr>
            </a:solidFill>
            <a:round/>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5"/>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8"/>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9"/>
        <c:spPr>
          <a:ln w="28575" cap="rnd">
            <a:solidFill>
              <a:schemeClr val="accent5">
                <a:lumMod val="50000"/>
              </a:schemeClr>
            </a:solidFill>
            <a:round/>
          </a:ln>
          <a:effectLst/>
        </c:spPr>
        <c:marker>
          <c:symbol val="none"/>
        </c:marker>
      </c:pivotFmt>
      <c:pivotFmt>
        <c:idx val="40"/>
        <c:spPr>
          <a:ln w="28575" cap="rnd">
            <a:solidFill>
              <a:schemeClr val="accent5">
                <a:lumMod val="50000"/>
              </a:schemeClr>
            </a:solidFill>
            <a:round/>
          </a:ln>
          <a:effectLst/>
        </c:spPr>
        <c:marker>
          <c:symbol val="none"/>
        </c:marker>
      </c:pivotFmt>
      <c:pivotFmt>
        <c:idx val="41"/>
        <c:spPr>
          <a:ln w="28575" cap="rnd">
            <a:solidFill>
              <a:schemeClr val="accent5">
                <a:lumMod val="50000"/>
              </a:schemeClr>
            </a:solidFill>
            <a:round/>
          </a:ln>
          <a:effectLst/>
        </c:spPr>
        <c:marker>
          <c:symbol val="none"/>
        </c:marker>
      </c:pivotFmt>
      <c:pivotFmt>
        <c:idx val="42"/>
        <c:spPr>
          <a:ln w="28575" cap="rnd">
            <a:solidFill>
              <a:schemeClr val="accent5">
                <a:lumMod val="50000"/>
              </a:schemeClr>
            </a:solidFill>
            <a:round/>
          </a:ln>
          <a:effectLst/>
        </c:spPr>
        <c:marker>
          <c:symbol val="none"/>
        </c:marker>
      </c:pivotFmt>
      <c:pivotFmt>
        <c:idx val="43"/>
        <c:spPr>
          <a:ln w="28575" cap="rnd">
            <a:solidFill>
              <a:schemeClr val="accent5">
                <a:lumMod val="50000"/>
              </a:schemeClr>
            </a:solidFill>
            <a:round/>
          </a:ln>
          <a:effectLst/>
        </c:spPr>
        <c:marker>
          <c:symbol val="none"/>
        </c:marker>
        <c:dLbl>
          <c:idx val="0"/>
          <c:layout>
            <c:manualLayout>
              <c:x val="-3.2826290448655163E-2"/>
              <c:y val="6.1840249637454991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4"/>
        <c:spPr>
          <a:ln w="28575" cap="rnd">
            <a:solidFill>
              <a:schemeClr val="accent5">
                <a:lumMod val="50000"/>
              </a:schemeClr>
            </a:solidFill>
            <a:round/>
          </a:ln>
          <a:effectLst/>
        </c:spPr>
        <c:marker>
          <c:symbol val="none"/>
        </c:marker>
      </c:pivotFmt>
      <c:pivotFmt>
        <c:idx val="45"/>
        <c:spPr>
          <a:ln w="28575" cap="rnd">
            <a:solidFill>
              <a:schemeClr val="accent5">
                <a:lumMod val="50000"/>
              </a:schemeClr>
            </a:solidFill>
            <a:round/>
          </a:ln>
          <a:effectLst/>
        </c:spPr>
        <c:marker>
          <c:symbol val="none"/>
        </c:marker>
      </c:pivotFmt>
      <c:pivotFmt>
        <c:idx val="46"/>
        <c:spPr>
          <a:ln w="28575" cap="rnd">
            <a:solidFill>
              <a:schemeClr val="accent5">
                <a:lumMod val="50000"/>
              </a:schemeClr>
            </a:solidFill>
            <a:round/>
          </a:ln>
          <a:effectLst/>
        </c:spPr>
        <c:marker>
          <c:symbol val="none"/>
        </c:marker>
        <c:dLbl>
          <c:idx val="0"/>
          <c:layout>
            <c:manualLayout>
              <c:x val="-6.6635065223315942E-2"/>
              <c:y val="5.7818129878997537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7"/>
        <c:spPr>
          <a:ln w="28575" cap="rnd">
            <a:solidFill>
              <a:schemeClr val="accent5">
                <a:lumMod val="50000"/>
              </a:schemeClr>
            </a:solidFill>
            <a:round/>
          </a:ln>
          <a:effectLst/>
        </c:spPr>
        <c:marker>
          <c:symbol val="none"/>
        </c:marker>
        <c:dLbl>
          <c:idx val="0"/>
          <c:layout>
            <c:manualLayout>
              <c:x val="-6.4522016799899676E-2"/>
              <c:y val="5.7818129878997537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8"/>
        <c:spPr>
          <a:ln w="28575" cap="rnd">
            <a:solidFill>
              <a:schemeClr val="accent5">
                <a:lumMod val="50000"/>
              </a:schemeClr>
            </a:solidFill>
            <a:round/>
          </a:ln>
          <a:effectLst/>
        </c:spPr>
        <c:marker>
          <c:symbol val="none"/>
        </c:marker>
      </c:pivotFmt>
      <c:pivotFmt>
        <c:idx val="49"/>
        <c:spPr>
          <a:ln w="28575" cap="rnd">
            <a:solidFill>
              <a:schemeClr val="accent5">
                <a:lumMod val="50000"/>
              </a:schemeClr>
            </a:solidFill>
            <a:round/>
          </a:ln>
          <a:effectLst/>
        </c:spPr>
        <c:marker>
          <c:symbol val="none"/>
        </c:marker>
      </c:pivotFmt>
      <c:pivotFmt>
        <c:idx val="50"/>
        <c:spPr>
          <a:ln w="28575" cap="rnd">
            <a:solidFill>
              <a:schemeClr val="accent5">
                <a:lumMod val="50000"/>
              </a:schemeClr>
            </a:solidFill>
            <a:round/>
          </a:ln>
          <a:effectLst/>
        </c:spPr>
        <c:marker>
          <c:symbol val="none"/>
        </c:marker>
        <c:dLbl>
          <c:idx val="0"/>
          <c:layout>
            <c:manualLayout>
              <c:x val="-6.4522016799899634E-2"/>
              <c:y val="4.9773890362082546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3557-4484-920F-DF90918CE8A2}"/>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3557-4484-920F-DF90918CE8A2}"/>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3557-4484-920F-DF90918CE8A2}"/>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3557-4484-920F-DF90918CE8A2}"/>
              </c:ext>
            </c:extLst>
          </c:dPt>
          <c:dPt>
            <c:idx val="4"/>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9-3557-4484-920F-DF90918CE8A2}"/>
              </c:ext>
            </c:extLst>
          </c:dPt>
          <c:dPt>
            <c:idx val="5"/>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B-3557-4484-920F-DF90918CE8A2}"/>
              </c:ext>
            </c:extLst>
          </c:dPt>
          <c:dPt>
            <c:idx val="6"/>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D-3557-4484-920F-DF90918CE8A2}"/>
              </c:ext>
            </c:extLst>
          </c:dPt>
          <c:dPt>
            <c:idx val="7"/>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F-3557-4484-920F-DF90918CE8A2}"/>
              </c:ext>
            </c:extLst>
          </c:dPt>
          <c:dPt>
            <c:idx val="8"/>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1-3557-4484-920F-DF90918CE8A2}"/>
              </c:ext>
            </c:extLst>
          </c:dPt>
          <c:dPt>
            <c:idx val="9"/>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3-3557-4484-920F-DF90918CE8A2}"/>
              </c:ext>
            </c:extLst>
          </c:dPt>
          <c:dPt>
            <c:idx val="1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5-87A9-472D-A68D-EAF22E459577}"/>
              </c:ext>
            </c:extLst>
          </c:dPt>
          <c:dPt>
            <c:idx val="1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6-3557-4484-920F-DF90918CE8A2}"/>
              </c:ext>
            </c:extLst>
          </c:dPt>
          <c:dLbls>
            <c:dLbl>
              <c:idx val="1"/>
              <c:layout>
                <c:manualLayout>
                  <c:x val="-6.6635065223315942E-2"/>
                  <c:y val="5.7818129878997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57-4484-920F-DF90918CE8A2}"/>
                </c:ext>
              </c:extLst>
            </c:dLbl>
            <c:dLbl>
              <c:idx val="3"/>
              <c:layout>
                <c:manualLayout>
                  <c:x val="-6.4522016799899676E-2"/>
                  <c:y val="5.7818129878997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557-4484-920F-DF90918CE8A2}"/>
                </c:ext>
              </c:extLst>
            </c:dLbl>
            <c:dLbl>
              <c:idx val="7"/>
              <c:layout>
                <c:manualLayout>
                  <c:x val="-3.2826290448655163E-2"/>
                  <c:y val="6.18402496374549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557-4484-920F-DF90918CE8A2}"/>
                </c:ext>
              </c:extLst>
            </c:dLbl>
            <c:dLbl>
              <c:idx val="10"/>
              <c:layout>
                <c:manualLayout>
                  <c:x val="-6.4522016799899634E-2"/>
                  <c:y val="4.977389036208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7A9-472D-A68D-EAF22E459577}"/>
                </c:ext>
              </c:extLst>
            </c:dLbl>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_("$"* #,##0.00_);_("$"* \(#,##0.00\);_("$"* "-"??_);_(@_)</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14-3557-4484-920F-DF90918CE8A2}"/>
            </c:ext>
          </c:extLst>
        </c:ser>
        <c:dLbls>
          <c:dLblPos val="t"/>
          <c:showLegendKey val="0"/>
          <c:showVal val="1"/>
          <c:showCatName val="0"/>
          <c:showSerName val="0"/>
          <c:showPercent val="0"/>
          <c:showBubbleSize val="0"/>
        </c:dLbls>
        <c:smooth val="0"/>
        <c:axId val="1977391231"/>
        <c:axId val="1977391647"/>
      </c:lineChart>
      <c:catAx>
        <c:axId val="197739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0" i="0" u="none" strike="noStrike" kern="1200" spc="0" baseline="0">
                <a:solidFill>
                  <a:sysClr val="windowText" lastClr="000000">
                    <a:lumMod val="65000"/>
                    <a:lumOff val="35000"/>
                  </a:sysClr>
                </a:solidFill>
                <a:latin typeface="Garamond" panose="02020404030301010803" pitchFamily="18" charset="0"/>
                <a:ea typeface="+mn-ea"/>
                <a:cs typeface="+mn-cs"/>
              </a:defRPr>
            </a:pPr>
            <a:endParaRPr lang="en-US"/>
          </a:p>
        </c:txPr>
        <c:crossAx val="1977391647"/>
        <c:crosses val="autoZero"/>
        <c:auto val="1"/>
        <c:lblAlgn val="ctr"/>
        <c:lblOffset val="100"/>
        <c:noMultiLvlLbl val="0"/>
      </c:catAx>
      <c:valAx>
        <c:axId val="1977391647"/>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97739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[Analystical Step.xlsx]Sales by Product Category!PivotTable1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sz="1400" b="0" i="0" u="none" strike="noStrike" kern="1200" spc="0" baseline="0">
                <a:solidFill>
                  <a:sysClr val="windowText" lastClr="000000">
                    <a:lumMod val="65000"/>
                    <a:lumOff val="35000"/>
                  </a:sysClr>
                </a:solidFill>
                <a:latin typeface="Garamond" panose="02020404030301010803" pitchFamily="18" charset="0"/>
              </a:rPr>
              <a:t>Product Category Performance over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5"/>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8"/>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9"/>
        <c:spPr>
          <a:solidFill>
            <a:schemeClr val="accent1"/>
          </a:solidFill>
          <a:ln w="28575" cap="rnd">
            <a:solidFill>
              <a:schemeClr val="accent5">
                <a:lumMod val="50000"/>
              </a:schemeClr>
            </a:solidFill>
            <a:round/>
          </a:ln>
          <a:effectLst/>
        </c:spPr>
        <c:marker>
          <c:symbol val="none"/>
        </c:marker>
        <c:dLbl>
          <c:idx val="0"/>
          <c:layout>
            <c:manualLayout>
              <c:x val="-6.2408968376483333E-2"/>
              <c:y val="-4.977357365973943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0"/>
        <c:spPr>
          <a:solidFill>
            <a:schemeClr val="accent1"/>
          </a:solidFill>
          <a:ln w="28575" cap="rnd">
            <a:solidFill>
              <a:schemeClr val="accent5">
                <a:lumMod val="50000"/>
              </a:schemeClr>
            </a:solidFill>
            <a:round/>
          </a:ln>
          <a:effectLst/>
        </c:spPr>
        <c:marker>
          <c:symbol val="none"/>
        </c:marker>
      </c:pivotFmt>
      <c:pivotFmt>
        <c:idx val="41"/>
        <c:spPr>
          <a:solidFill>
            <a:schemeClr val="accent1"/>
          </a:solidFill>
          <a:ln w="28575" cap="rnd">
            <a:solidFill>
              <a:schemeClr val="accent5">
                <a:lumMod val="50000"/>
              </a:schemeClr>
            </a:solidFill>
            <a:round/>
          </a:ln>
          <a:effectLst/>
        </c:spPr>
        <c:marker>
          <c:symbol val="none"/>
        </c:marker>
      </c:pivotFmt>
      <c:pivotFmt>
        <c:idx val="42"/>
        <c:spPr>
          <a:solidFill>
            <a:schemeClr val="accent1"/>
          </a:solidFill>
          <a:ln w="28575" cap="rnd">
            <a:solidFill>
              <a:schemeClr val="accent5">
                <a:lumMod val="50000"/>
              </a:schemeClr>
            </a:solidFill>
            <a:round/>
          </a:ln>
          <a:effectLst/>
        </c:spPr>
        <c:marker>
          <c:symbol val="none"/>
        </c:marker>
        <c:dLbl>
          <c:idx val="0"/>
          <c:layout>
            <c:manualLayout>
              <c:x val="-3.2826290448655163E-2"/>
              <c:y val="6.686789933552674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3"/>
        <c:spPr>
          <a:solidFill>
            <a:schemeClr val="accent1"/>
          </a:solidFill>
          <a:ln w="28575" cap="rnd">
            <a:solidFill>
              <a:schemeClr val="accent5">
                <a:lumMod val="50000"/>
              </a:schemeClr>
            </a:solidFill>
            <a:round/>
          </a:ln>
          <a:effectLst/>
        </c:spPr>
        <c:marker>
          <c:symbol val="none"/>
        </c:marker>
      </c:pivotFmt>
      <c:pivotFmt>
        <c:idx val="44"/>
        <c:spPr>
          <a:solidFill>
            <a:schemeClr val="accent1"/>
          </a:solidFill>
          <a:ln w="28575" cap="rnd">
            <a:solidFill>
              <a:schemeClr val="accent5">
                <a:lumMod val="50000"/>
              </a:schemeClr>
            </a:solidFill>
            <a:round/>
          </a:ln>
          <a:effectLst/>
        </c:spPr>
        <c:marker>
          <c:symbol val="none"/>
        </c:marker>
      </c:pivotFmt>
      <c:pivotFmt>
        <c:idx val="45"/>
        <c:spPr>
          <a:solidFill>
            <a:schemeClr val="accent1"/>
          </a:solidFill>
          <a:ln w="28575" cap="rnd">
            <a:solidFill>
              <a:schemeClr val="accent5">
                <a:lumMod val="50000"/>
              </a:schemeClr>
            </a:solidFill>
            <a:round/>
          </a:ln>
          <a:effectLst/>
        </c:spPr>
        <c:marker>
          <c:symbol val="none"/>
        </c:marker>
      </c:pivotFmt>
      <c:pivotFmt>
        <c:idx val="46"/>
        <c:spPr>
          <a:solidFill>
            <a:schemeClr val="accent1"/>
          </a:solidFill>
          <a:ln w="28575" cap="rnd">
            <a:solidFill>
              <a:schemeClr val="accent5">
                <a:lumMod val="50000"/>
              </a:schemeClr>
            </a:solidFill>
            <a:round/>
          </a:ln>
          <a:effectLst/>
        </c:spPr>
        <c:marker>
          <c:symbol val="none"/>
        </c:marker>
      </c:pivotFmt>
      <c:pivotFmt>
        <c:idx val="47"/>
        <c:spPr>
          <a:solidFill>
            <a:schemeClr val="accent1"/>
          </a:solidFill>
          <a:ln w="28575" cap="rnd">
            <a:solidFill>
              <a:schemeClr val="accent5">
                <a:lumMod val="50000"/>
              </a:schemeClr>
            </a:solidFill>
            <a:round/>
          </a:ln>
          <a:effectLst/>
        </c:spPr>
        <c:marker>
          <c:symbol val="none"/>
        </c:marker>
      </c:pivotFmt>
      <c:pivotFmt>
        <c:idx val="48"/>
        <c:spPr>
          <a:solidFill>
            <a:schemeClr val="accent1"/>
          </a:solidFill>
          <a:ln w="28575" cap="rnd">
            <a:solidFill>
              <a:schemeClr val="accent5">
                <a:lumMod val="50000"/>
              </a:schemeClr>
            </a:solidFill>
            <a:round/>
          </a:ln>
          <a:effectLst/>
        </c:spPr>
        <c:marker>
          <c:symbol val="none"/>
        </c:marker>
      </c:pivotFmt>
      <c:pivotFmt>
        <c:idx val="49"/>
        <c:spPr>
          <a:solidFill>
            <a:schemeClr val="accent1"/>
          </a:solidFill>
          <a:ln w="28575" cap="rnd">
            <a:solidFill>
              <a:schemeClr val="accent5">
                <a:lumMod val="50000"/>
              </a:schemeClr>
            </a:solidFill>
            <a:round/>
          </a:ln>
          <a:effectLst/>
        </c:spPr>
        <c:marker>
          <c:symbol val="none"/>
        </c:marker>
      </c:pivotFmt>
      <c:pivotFmt>
        <c:idx val="50"/>
        <c:spPr>
          <a:solidFill>
            <a:schemeClr val="accent1"/>
          </a:solidFill>
          <a:ln w="28575" cap="rnd">
            <a:solidFill>
              <a:schemeClr val="accent5">
                <a:lumMod val="50000"/>
              </a:schemeClr>
            </a:solidFill>
            <a:round/>
          </a:ln>
          <a:effectLst/>
        </c:spPr>
        <c:marker>
          <c:symbol val="none"/>
        </c:marker>
        <c:dLbl>
          <c:idx val="0"/>
          <c:layout>
            <c:manualLayout>
              <c:x val="-6.4522016799899634E-2"/>
              <c:y val="-3.368509462590960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1"/>
        <c:spPr>
          <a:solidFill>
            <a:schemeClr val="accent1"/>
          </a:solidFill>
          <a:ln>
            <a:solidFill>
              <a:schemeClr val="bg1"/>
            </a:solid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2"/>
        <c:spPr>
          <a:solidFill>
            <a:schemeClr val="accent1"/>
          </a:solidFill>
          <a:ln w="28575" cap="rnd">
            <a:solidFill>
              <a:schemeClr val="accent5">
                <a:lumMod val="50000"/>
              </a:schemeClr>
            </a:solidFill>
            <a:round/>
          </a:ln>
          <a:effectLst/>
        </c:spPr>
        <c:marker>
          <c:symbol val="none"/>
        </c:marker>
        <c:dLbl>
          <c:idx val="0"/>
          <c:layout>
            <c:manualLayout>
              <c:x val="-6.2408968376483333E-2"/>
              <c:y val="-4.977357365973943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3"/>
        <c:spPr>
          <a:solidFill>
            <a:schemeClr val="accent1"/>
          </a:solidFill>
          <a:ln w="28575" cap="rnd">
            <a:solidFill>
              <a:schemeClr val="accent5">
                <a:lumMod val="50000"/>
              </a:schemeClr>
            </a:solidFill>
            <a:round/>
          </a:ln>
          <a:effectLst/>
        </c:spPr>
        <c:marker>
          <c:symbol val="none"/>
        </c:marker>
      </c:pivotFmt>
      <c:pivotFmt>
        <c:idx val="54"/>
        <c:spPr>
          <a:solidFill>
            <a:schemeClr val="accent1"/>
          </a:solidFill>
          <a:ln w="28575" cap="rnd">
            <a:solidFill>
              <a:schemeClr val="accent5">
                <a:lumMod val="50000"/>
              </a:schemeClr>
            </a:solidFill>
            <a:round/>
          </a:ln>
          <a:effectLst/>
        </c:spPr>
        <c:marker>
          <c:symbol val="none"/>
        </c:marker>
      </c:pivotFmt>
      <c:pivotFmt>
        <c:idx val="55"/>
        <c:spPr>
          <a:solidFill>
            <a:schemeClr val="accent1"/>
          </a:solidFill>
          <a:ln w="28575" cap="rnd">
            <a:solidFill>
              <a:schemeClr val="accent5">
                <a:lumMod val="50000"/>
              </a:schemeClr>
            </a:solidFill>
            <a:round/>
          </a:ln>
          <a:effectLst/>
        </c:spPr>
        <c:marker>
          <c:symbol val="none"/>
        </c:marker>
      </c:pivotFmt>
      <c:pivotFmt>
        <c:idx val="56"/>
        <c:spPr>
          <a:solidFill>
            <a:schemeClr val="accent1"/>
          </a:solidFill>
          <a:ln w="28575" cap="rnd">
            <a:solidFill>
              <a:schemeClr val="accent5">
                <a:lumMod val="50000"/>
              </a:schemeClr>
            </a:solidFill>
            <a:round/>
          </a:ln>
          <a:effectLst/>
        </c:spPr>
        <c:marker>
          <c:symbol val="none"/>
        </c:marker>
      </c:pivotFmt>
      <c:pivotFmt>
        <c:idx val="57"/>
        <c:spPr>
          <a:solidFill>
            <a:schemeClr val="accent1"/>
          </a:solidFill>
          <a:ln w="28575" cap="rnd">
            <a:solidFill>
              <a:schemeClr val="accent5">
                <a:lumMod val="50000"/>
              </a:schemeClr>
            </a:solidFill>
            <a:round/>
          </a:ln>
          <a:effectLst/>
        </c:spPr>
        <c:marker>
          <c:symbol val="none"/>
        </c:marker>
        <c:dLbl>
          <c:idx val="0"/>
          <c:layout>
            <c:manualLayout>
              <c:x val="-3.2826290448655163E-2"/>
              <c:y val="6.686789933552674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8"/>
        <c:spPr>
          <a:solidFill>
            <a:schemeClr val="accent1"/>
          </a:solidFill>
          <a:ln w="28575" cap="rnd">
            <a:solidFill>
              <a:schemeClr val="accent5">
                <a:lumMod val="50000"/>
              </a:schemeClr>
            </a:solidFill>
            <a:round/>
          </a:ln>
          <a:effectLst/>
        </c:spPr>
        <c:marker>
          <c:symbol val="none"/>
        </c:marker>
      </c:pivotFmt>
      <c:pivotFmt>
        <c:idx val="59"/>
        <c:spPr>
          <a:solidFill>
            <a:schemeClr val="accent1"/>
          </a:solidFill>
          <a:ln w="28575" cap="rnd">
            <a:solidFill>
              <a:schemeClr val="accent5">
                <a:lumMod val="50000"/>
              </a:schemeClr>
            </a:solidFill>
            <a:round/>
          </a:ln>
          <a:effectLst/>
        </c:spPr>
        <c:marker>
          <c:symbol val="none"/>
        </c:marker>
      </c:pivotFmt>
      <c:pivotFmt>
        <c:idx val="60"/>
        <c:spPr>
          <a:solidFill>
            <a:schemeClr val="accent1"/>
          </a:solidFill>
          <a:ln w="28575" cap="rnd">
            <a:solidFill>
              <a:schemeClr val="accent5">
                <a:lumMod val="50000"/>
              </a:schemeClr>
            </a:solidFill>
            <a:round/>
          </a:ln>
          <a:effectLst/>
        </c:spPr>
        <c:marker>
          <c:symbol val="none"/>
        </c:marker>
      </c:pivotFmt>
      <c:pivotFmt>
        <c:idx val="61"/>
        <c:spPr>
          <a:solidFill>
            <a:schemeClr val="accent1"/>
          </a:solidFill>
          <a:ln w="28575" cap="rnd">
            <a:solidFill>
              <a:schemeClr val="accent5">
                <a:lumMod val="50000"/>
              </a:schemeClr>
            </a:solidFill>
            <a:round/>
          </a:ln>
          <a:effectLst/>
        </c:spPr>
        <c:marker>
          <c:symbol val="none"/>
        </c:marker>
      </c:pivotFmt>
      <c:pivotFmt>
        <c:idx val="62"/>
        <c:spPr>
          <a:solidFill>
            <a:schemeClr val="accent1"/>
          </a:solidFill>
          <a:ln w="28575" cap="rnd">
            <a:solidFill>
              <a:schemeClr val="accent5">
                <a:lumMod val="50000"/>
              </a:schemeClr>
            </a:solidFill>
            <a:round/>
          </a:ln>
          <a:effectLst/>
        </c:spPr>
        <c:marker>
          <c:symbol val="none"/>
        </c:marker>
        <c:dLbl>
          <c:idx val="0"/>
          <c:layout>
            <c:manualLayout>
              <c:x val="-6.4522016799899634E-2"/>
              <c:y val="-3.368509462590960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3"/>
        <c:spPr>
          <a:solidFill>
            <a:schemeClr val="accent1"/>
          </a:solidFill>
          <a:ln w="28575" cap="rnd">
            <a:solidFill>
              <a:schemeClr val="accent5">
                <a:lumMod val="50000"/>
              </a:schemeClr>
            </a:solidFill>
            <a:round/>
          </a:ln>
          <a:effectLst/>
        </c:spPr>
        <c:marker>
          <c:symbol val="none"/>
        </c:marker>
      </c:pivotFmt>
      <c:pivotFmt>
        <c:idx val="64"/>
        <c:spPr>
          <a:solidFill>
            <a:schemeClr val="accent5">
              <a:lumMod val="50000"/>
            </a:schemeClr>
          </a:solidFill>
          <a:ln>
            <a:solidFill>
              <a:schemeClr val="bg1"/>
            </a:solidFill>
          </a:ln>
          <a:effectLst/>
        </c:spPr>
        <c:dLbl>
          <c:idx val="0"/>
          <c:layout>
            <c:manualLayout>
              <c:x val="0"/>
              <c:y val="-7.2398155652234189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5"/>
        <c:spPr>
          <a:solidFill>
            <a:schemeClr val="accent5">
              <a:lumMod val="75000"/>
            </a:schemeClr>
          </a:solidFill>
          <a:ln>
            <a:solidFill>
              <a:schemeClr val="bg1"/>
            </a:solidFill>
          </a:ln>
          <a:effectLst/>
        </c:spPr>
      </c:pivotFmt>
      <c:pivotFmt>
        <c:idx val="66"/>
        <c:spPr>
          <a:solidFill>
            <a:schemeClr val="accent5">
              <a:lumMod val="60000"/>
              <a:lumOff val="40000"/>
            </a:schemeClr>
          </a:solidFill>
          <a:ln>
            <a:solidFill>
              <a:schemeClr val="bg1"/>
            </a:solidFill>
          </a:ln>
          <a:effectLst/>
        </c:spPr>
      </c:pivotFmt>
      <c:pivotFmt>
        <c:idx val="67"/>
        <c:spPr>
          <a:solidFill>
            <a:schemeClr val="accent5">
              <a:lumMod val="40000"/>
              <a:lumOff val="60000"/>
            </a:schemeClr>
          </a:solidFill>
          <a:ln>
            <a:solidFill>
              <a:schemeClr val="bg1"/>
            </a:solidFill>
          </a:ln>
          <a:effectLst/>
        </c:spPr>
      </c:pivotFmt>
      <c:pivotFmt>
        <c:idx val="68"/>
        <c:spPr>
          <a:solidFill>
            <a:schemeClr val="accent5">
              <a:lumMod val="20000"/>
              <a:lumOff val="80000"/>
            </a:schemeClr>
          </a:solidFill>
          <a:ln>
            <a:solidFill>
              <a:schemeClr val="bg1"/>
            </a:solidFill>
          </a:ln>
          <a:effectLst/>
        </c:spPr>
      </c:pivotFmt>
      <c:pivotFmt>
        <c:idx val="69"/>
        <c:spPr>
          <a:solidFill>
            <a:schemeClr val="accent5">
              <a:lumMod val="75000"/>
            </a:schemeClr>
          </a:solidFill>
          <a:ln>
            <a:solidFill>
              <a:schemeClr val="bg1"/>
            </a:solidFill>
          </a:ln>
          <a:effectLst/>
        </c:spPr>
      </c:pivotFmt>
      <c:pivotFmt>
        <c:idx val="70"/>
        <c:spPr>
          <a:solidFill>
            <a:schemeClr val="accent5">
              <a:lumMod val="40000"/>
              <a:lumOff val="60000"/>
            </a:schemeClr>
          </a:solidFill>
          <a:ln>
            <a:solidFill>
              <a:schemeClr val="bg1"/>
            </a:solidFill>
          </a:ln>
          <a:effectLst/>
        </c:spPr>
      </c:pivotFmt>
      <c:pivotFmt>
        <c:idx val="71"/>
        <c:spPr>
          <a:solidFill>
            <a:schemeClr val="accent5">
              <a:lumMod val="20000"/>
              <a:lumOff val="80000"/>
            </a:schemeClr>
          </a:solidFill>
          <a:ln>
            <a:solidFill>
              <a:schemeClr val="bg1"/>
            </a:solidFill>
          </a:ln>
          <a:effectLst/>
        </c:spPr>
      </c:pivotFmt>
    </c:pivotFmts>
    <c:plotArea>
      <c:layout/>
      <c:barChart>
        <c:barDir val="bar"/>
        <c:grouping val="clustered"/>
        <c:varyColors val="0"/>
        <c:ser>
          <c:idx val="0"/>
          <c:order val="0"/>
          <c:tx>
            <c:strRef>
              <c:f>'Sales by Product Category'!$B$3</c:f>
              <c:strCache>
                <c:ptCount val="1"/>
                <c:pt idx="0">
                  <c:v>Total</c:v>
                </c:pt>
              </c:strCache>
            </c:strRef>
          </c:tx>
          <c:spPr>
            <a:solidFill>
              <a:schemeClr val="accent1"/>
            </a:solidFill>
            <a:ln>
              <a:solidFill>
                <a:schemeClr val="bg1"/>
              </a:solidFill>
            </a:ln>
            <a:effectLst/>
          </c:spPr>
          <c:invertIfNegative val="0"/>
          <c:dPt>
            <c:idx val="0"/>
            <c:invertIfNegative val="0"/>
            <c:bubble3D val="0"/>
            <c:spPr>
              <a:solidFill>
                <a:schemeClr val="accent5">
                  <a:lumMod val="50000"/>
                </a:schemeClr>
              </a:solidFill>
              <a:ln>
                <a:solidFill>
                  <a:schemeClr val="bg1"/>
                </a:solidFill>
              </a:ln>
              <a:effectLst/>
            </c:spPr>
            <c:extLst>
              <c:ext xmlns:c16="http://schemas.microsoft.com/office/drawing/2014/chart" uri="{C3380CC4-5D6E-409C-BE32-E72D297353CC}">
                <c16:uniqueId val="{00000001-EE00-4E8D-AD59-F2868E42B03C}"/>
              </c:ext>
            </c:extLst>
          </c:dPt>
          <c:dPt>
            <c:idx val="1"/>
            <c:invertIfNegative val="0"/>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3-EE00-4E8D-AD59-F2868E42B03C}"/>
              </c:ext>
            </c:extLst>
          </c:dPt>
          <c:dPt>
            <c:idx val="2"/>
            <c:invertIfNegative val="0"/>
            <c:bubble3D val="0"/>
            <c:spPr>
              <a:solidFill>
                <a:schemeClr val="accent5">
                  <a:lumMod val="60000"/>
                  <a:lumOff val="40000"/>
                </a:schemeClr>
              </a:solidFill>
              <a:ln>
                <a:solidFill>
                  <a:schemeClr val="bg1"/>
                </a:solidFill>
              </a:ln>
              <a:effectLst/>
            </c:spPr>
            <c:extLst>
              <c:ext xmlns:c16="http://schemas.microsoft.com/office/drawing/2014/chart" uri="{C3380CC4-5D6E-409C-BE32-E72D297353CC}">
                <c16:uniqueId val="{00000005-EE00-4E8D-AD59-F2868E42B03C}"/>
              </c:ext>
            </c:extLst>
          </c:dPt>
          <c:dPt>
            <c:idx val="3"/>
            <c:invertIfNegative val="0"/>
            <c:bubble3D val="0"/>
            <c:spPr>
              <a:solidFill>
                <a:schemeClr val="accent5">
                  <a:lumMod val="40000"/>
                  <a:lumOff val="60000"/>
                </a:schemeClr>
              </a:solidFill>
              <a:ln>
                <a:solidFill>
                  <a:schemeClr val="bg1"/>
                </a:solidFill>
              </a:ln>
              <a:effectLst/>
            </c:spPr>
            <c:extLst>
              <c:ext xmlns:c16="http://schemas.microsoft.com/office/drawing/2014/chart" uri="{C3380CC4-5D6E-409C-BE32-E72D297353CC}">
                <c16:uniqueId val="{00000007-EE00-4E8D-AD59-F2868E42B03C}"/>
              </c:ext>
            </c:extLst>
          </c:dPt>
          <c:dPt>
            <c:idx val="4"/>
            <c:invertIfNegative val="0"/>
            <c:bubble3D val="0"/>
            <c:spPr>
              <a:solidFill>
                <a:schemeClr val="accent5">
                  <a:lumMod val="20000"/>
                  <a:lumOff val="80000"/>
                </a:schemeClr>
              </a:solidFill>
              <a:ln>
                <a:solidFill>
                  <a:schemeClr val="bg1"/>
                </a:solidFill>
              </a:ln>
              <a:effectLst/>
            </c:spPr>
            <c:extLst>
              <c:ext xmlns:c16="http://schemas.microsoft.com/office/drawing/2014/chart" uri="{C3380CC4-5D6E-409C-BE32-E72D297353CC}">
                <c16:uniqueId val="{00000009-EE00-4E8D-AD59-F2868E42B03C}"/>
              </c:ext>
            </c:extLst>
          </c:dPt>
          <c:dPt>
            <c:idx val="5"/>
            <c:invertIfNegative val="0"/>
            <c:bubble3D val="0"/>
            <c:extLst>
              <c:ext xmlns:c16="http://schemas.microsoft.com/office/drawing/2014/chart" uri="{C3380CC4-5D6E-409C-BE32-E72D297353CC}">
                <c16:uniqueId val="{0000000B-EE00-4E8D-AD59-F2868E42B03C}"/>
              </c:ext>
            </c:extLst>
          </c:dPt>
          <c:dPt>
            <c:idx val="6"/>
            <c:invertIfNegative val="0"/>
            <c:bubble3D val="0"/>
            <c:extLst>
              <c:ext xmlns:c16="http://schemas.microsoft.com/office/drawing/2014/chart" uri="{C3380CC4-5D6E-409C-BE32-E72D297353CC}">
                <c16:uniqueId val="{0000000D-EE00-4E8D-AD59-F2868E42B03C}"/>
              </c:ext>
            </c:extLst>
          </c:dPt>
          <c:dPt>
            <c:idx val="7"/>
            <c:invertIfNegative val="0"/>
            <c:bubble3D val="0"/>
            <c:extLst>
              <c:ext xmlns:c16="http://schemas.microsoft.com/office/drawing/2014/chart" uri="{C3380CC4-5D6E-409C-BE32-E72D297353CC}">
                <c16:uniqueId val="{0000000F-EE00-4E8D-AD59-F2868E42B03C}"/>
              </c:ext>
            </c:extLst>
          </c:dPt>
          <c:dPt>
            <c:idx val="8"/>
            <c:invertIfNegative val="0"/>
            <c:bubble3D val="0"/>
            <c:extLst>
              <c:ext xmlns:c16="http://schemas.microsoft.com/office/drawing/2014/chart" uri="{C3380CC4-5D6E-409C-BE32-E72D297353CC}">
                <c16:uniqueId val="{00000011-EE00-4E8D-AD59-F2868E42B03C}"/>
              </c:ext>
            </c:extLst>
          </c:dPt>
          <c:dPt>
            <c:idx val="9"/>
            <c:invertIfNegative val="0"/>
            <c:bubble3D val="0"/>
            <c:extLst>
              <c:ext xmlns:c16="http://schemas.microsoft.com/office/drawing/2014/chart" uri="{C3380CC4-5D6E-409C-BE32-E72D297353CC}">
                <c16:uniqueId val="{00000013-EE00-4E8D-AD59-F2868E42B03C}"/>
              </c:ext>
            </c:extLst>
          </c:dPt>
          <c:dPt>
            <c:idx val="10"/>
            <c:invertIfNegative val="0"/>
            <c:bubble3D val="0"/>
            <c:extLst>
              <c:ext xmlns:c16="http://schemas.microsoft.com/office/drawing/2014/chart" uri="{C3380CC4-5D6E-409C-BE32-E72D297353CC}">
                <c16:uniqueId val="{00000015-EE00-4E8D-AD59-F2868E42B03C}"/>
              </c:ext>
            </c:extLst>
          </c:dPt>
          <c:dPt>
            <c:idx val="11"/>
            <c:invertIfNegative val="0"/>
            <c:bubble3D val="0"/>
            <c:extLst>
              <c:ext xmlns:c16="http://schemas.microsoft.com/office/drawing/2014/chart" uri="{C3380CC4-5D6E-409C-BE32-E72D297353CC}">
                <c16:uniqueId val="{00000017-EE00-4E8D-AD59-F2868E42B03C}"/>
              </c:ext>
            </c:extLst>
          </c:dPt>
          <c:dLbls>
            <c:dLbl>
              <c:idx val="0"/>
              <c:layout>
                <c:manualLayout>
                  <c:x val="0"/>
                  <c:y val="-7.23981556522341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00-4E8D-AD59-F2868E42B03C}"/>
                </c:ext>
              </c:extLst>
            </c:dLbl>
            <c:spPr>
              <a:noFill/>
              <a:ln>
                <a:noFill/>
              </a:ln>
              <a:effectLst/>
            </c:spPr>
            <c:txPr>
              <a:bodyPr rot="0" spcFirstLastPara="1" vertOverflow="overflow" horzOverflow="overflow" vert="horz" wrap="square" lIns="36576"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_("$"* #,##0.00_);_("$"* \(#,##0.00\);_("$"* "-"??_);_(@_)</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18-EE00-4E8D-AD59-F2868E42B03C}"/>
            </c:ext>
          </c:extLst>
        </c:ser>
        <c:dLbls>
          <c:showLegendKey val="0"/>
          <c:showVal val="1"/>
          <c:showCatName val="0"/>
          <c:showSerName val="0"/>
          <c:showPercent val="0"/>
          <c:showBubbleSize val="0"/>
        </c:dLbls>
        <c:gapWidth val="80"/>
        <c:axId val="1977391231"/>
        <c:axId val="1977391647"/>
      </c:barChart>
      <c:catAx>
        <c:axId val="1977391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Garamond" panose="02020404030301010803" pitchFamily="18" charset="0"/>
                <a:ea typeface="+mn-ea"/>
                <a:cs typeface="+mn-cs"/>
              </a:defRPr>
            </a:pPr>
            <a:endParaRPr lang="en-US"/>
          </a:p>
        </c:txPr>
        <c:crossAx val="1977391647"/>
        <c:crosses val="autoZero"/>
        <c:auto val="1"/>
        <c:lblAlgn val="ctr"/>
        <c:lblOffset val="100"/>
        <c:noMultiLvlLbl val="0"/>
      </c:catAx>
      <c:valAx>
        <c:axId val="1977391647"/>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97739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[Analystical Step.xlsx]Transaction by Amount!PivotTable1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a:latin typeface="Garamond" panose="02020404030301010803" pitchFamily="18" charset="0"/>
              </a:rPr>
              <a:t>Transaction by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5"/>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8"/>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9"/>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0"/>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1"/>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2"/>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3"/>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4"/>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5"/>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6"/>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7"/>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8"/>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9"/>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1"/>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2"/>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3"/>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4"/>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5"/>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6"/>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7"/>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8"/>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9"/>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0"/>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1"/>
        <c:spPr>
          <a:solidFill>
            <a:schemeClr val="accent5">
              <a:lumMod val="50000"/>
            </a:schemeClr>
          </a:solidFill>
          <a:ln>
            <a:noFill/>
          </a:ln>
          <a:effectLst/>
        </c:spPr>
      </c:pivotFmt>
      <c:pivotFmt>
        <c:idx val="62"/>
        <c:spPr>
          <a:solidFill>
            <a:schemeClr val="accent5">
              <a:lumMod val="75000"/>
            </a:schemeClr>
          </a:solidFill>
          <a:ln>
            <a:noFill/>
          </a:ln>
          <a:effectLst/>
        </c:spPr>
      </c:pivotFmt>
      <c:pivotFmt>
        <c:idx val="63"/>
        <c:spPr>
          <a:solidFill>
            <a:schemeClr val="accent5">
              <a:lumMod val="60000"/>
              <a:lumOff val="40000"/>
            </a:schemeClr>
          </a:solidFill>
          <a:ln>
            <a:noFill/>
          </a:ln>
          <a:effectLst/>
        </c:spPr>
      </c:pivotFmt>
      <c:pivotFmt>
        <c:idx val="64"/>
        <c:spPr>
          <a:solidFill>
            <a:schemeClr val="accent5">
              <a:lumMod val="40000"/>
              <a:lumOff val="60000"/>
            </a:schemeClr>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E7B7-46F5-B8D9-D8729641716B}"/>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E7B7-46F5-B8D9-D8729641716B}"/>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E7B7-46F5-B8D9-D8729641716B}"/>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E7B7-46F5-B8D9-D8729641716B}"/>
              </c:ext>
            </c:extLst>
          </c:dPt>
          <c:dPt>
            <c:idx val="4"/>
            <c:invertIfNegative val="0"/>
            <c:bubble3D val="0"/>
            <c:extLst>
              <c:ext xmlns:c16="http://schemas.microsoft.com/office/drawing/2014/chart" uri="{C3380CC4-5D6E-409C-BE32-E72D297353CC}">
                <c16:uniqueId val="{00000009-E7B7-46F5-B8D9-D8729641716B}"/>
              </c:ext>
            </c:extLst>
          </c:dPt>
          <c:dPt>
            <c:idx val="5"/>
            <c:invertIfNegative val="0"/>
            <c:bubble3D val="0"/>
            <c:extLst>
              <c:ext xmlns:c16="http://schemas.microsoft.com/office/drawing/2014/chart" uri="{C3380CC4-5D6E-409C-BE32-E72D297353CC}">
                <c16:uniqueId val="{0000000B-E7B7-46F5-B8D9-D8729641716B}"/>
              </c:ext>
            </c:extLst>
          </c:dPt>
          <c:dPt>
            <c:idx val="6"/>
            <c:invertIfNegative val="0"/>
            <c:bubble3D val="0"/>
            <c:extLst>
              <c:ext xmlns:c16="http://schemas.microsoft.com/office/drawing/2014/chart" uri="{C3380CC4-5D6E-409C-BE32-E72D297353CC}">
                <c16:uniqueId val="{0000000D-E7B7-46F5-B8D9-D8729641716B}"/>
              </c:ext>
            </c:extLst>
          </c:dPt>
          <c:dPt>
            <c:idx val="7"/>
            <c:invertIfNegative val="0"/>
            <c:bubble3D val="0"/>
            <c:extLst>
              <c:ext xmlns:c16="http://schemas.microsoft.com/office/drawing/2014/chart" uri="{C3380CC4-5D6E-409C-BE32-E72D297353CC}">
                <c16:uniqueId val="{0000000F-E7B7-46F5-B8D9-D8729641716B}"/>
              </c:ext>
            </c:extLst>
          </c:dPt>
          <c:dPt>
            <c:idx val="8"/>
            <c:invertIfNegative val="0"/>
            <c:bubble3D val="0"/>
            <c:extLst>
              <c:ext xmlns:c16="http://schemas.microsoft.com/office/drawing/2014/chart" uri="{C3380CC4-5D6E-409C-BE32-E72D297353CC}">
                <c16:uniqueId val="{00000011-E7B7-46F5-B8D9-D8729641716B}"/>
              </c:ext>
            </c:extLst>
          </c:dPt>
          <c:dPt>
            <c:idx val="9"/>
            <c:invertIfNegative val="0"/>
            <c:bubble3D val="0"/>
            <c:extLst>
              <c:ext xmlns:c16="http://schemas.microsoft.com/office/drawing/2014/chart" uri="{C3380CC4-5D6E-409C-BE32-E72D297353CC}">
                <c16:uniqueId val="{00000013-E7B7-46F5-B8D9-D8729641716B}"/>
              </c:ext>
            </c:extLst>
          </c:dPt>
          <c:dLbls>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14-E7B7-46F5-B8D9-D8729641716B}"/>
            </c:ext>
          </c:extLst>
        </c:ser>
        <c:dLbls>
          <c:showLegendKey val="0"/>
          <c:showVal val="1"/>
          <c:showCatName val="0"/>
          <c:showSerName val="0"/>
          <c:showPercent val="0"/>
          <c:showBubbleSize val="0"/>
        </c:dLbls>
        <c:gapWidth val="20"/>
        <c:axId val="1977391231"/>
        <c:axId val="1977391647"/>
      </c:barChart>
      <c:catAx>
        <c:axId val="197739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0" i="0" u="none" strike="noStrike" kern="1200" spc="0" baseline="0">
                <a:solidFill>
                  <a:sysClr val="windowText" lastClr="000000">
                    <a:lumMod val="65000"/>
                    <a:lumOff val="35000"/>
                  </a:sysClr>
                </a:solidFill>
                <a:latin typeface="Garamond" panose="02020404030301010803" pitchFamily="18" charset="0"/>
                <a:ea typeface="+mn-ea"/>
                <a:cs typeface="+mn-cs"/>
              </a:defRPr>
            </a:pPr>
            <a:endParaRPr lang="en-US"/>
          </a:p>
        </c:txPr>
        <c:crossAx val="1977391647"/>
        <c:crosses val="autoZero"/>
        <c:auto val="1"/>
        <c:lblAlgn val="ctr"/>
        <c:lblOffset val="100"/>
        <c:noMultiLvlLbl val="0"/>
      </c:catAx>
      <c:valAx>
        <c:axId val="19773916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7739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[Analystical Step.xlsx]Top 5 cities by Revenue!PivotTable1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a:latin typeface="Garamond" panose="02020404030301010803" pitchFamily="18" charset="0"/>
              </a:rPr>
              <a:t>Top 5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s>
    <c:plotArea>
      <c:layout/>
      <c:barChart>
        <c:barDir val="col"/>
        <c:grouping val="clustered"/>
        <c:varyColors val="0"/>
        <c:ser>
          <c:idx val="0"/>
          <c:order val="0"/>
          <c:tx>
            <c:strRef>
              <c:f>'Top 5 cities by Revenue'!$B$3</c:f>
              <c:strCache>
                <c:ptCount val="1"/>
                <c:pt idx="0">
                  <c:v>Total</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2-1DED-47B9-A038-0FDFFEAE81B5}"/>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1DED-47B9-A038-0FDFFEAE81B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1DED-47B9-A038-0FDFFEAE81B5}"/>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1DED-47B9-A038-0FDFFEAE81B5}"/>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6-1DED-47B9-A038-0FDFFEAE81B5}"/>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Revenue'!$A$4:$A$9</c:f>
              <c:strCache>
                <c:ptCount val="5"/>
                <c:pt idx="0">
                  <c:v>New York</c:v>
                </c:pt>
                <c:pt idx="1">
                  <c:v>Portland</c:v>
                </c:pt>
                <c:pt idx="2">
                  <c:v>Miami</c:v>
                </c:pt>
                <c:pt idx="3">
                  <c:v>Memphis</c:v>
                </c:pt>
                <c:pt idx="4">
                  <c:v>Chicago</c:v>
                </c:pt>
              </c:strCache>
            </c:strRef>
          </c:cat>
          <c:val>
            <c:numRef>
              <c:f>'Top 5 cities by Revenue'!$B$4:$B$9</c:f>
              <c:numCache>
                <c:formatCode>_("$"* #,##0.00_);_("$"* \(#,##0.00\);_("$"* "-"??_);_(@_)</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0-1DED-47B9-A038-0FDFFEAE81B5}"/>
            </c:ext>
          </c:extLst>
        </c:ser>
        <c:dLbls>
          <c:dLblPos val="outEnd"/>
          <c:showLegendKey val="0"/>
          <c:showVal val="1"/>
          <c:showCatName val="0"/>
          <c:showSerName val="0"/>
          <c:showPercent val="0"/>
          <c:showBubbleSize val="0"/>
        </c:dLbls>
        <c:gapWidth val="40"/>
        <c:overlap val="-27"/>
        <c:axId val="2046447599"/>
        <c:axId val="2046436783"/>
      </c:barChart>
      <c:catAx>
        <c:axId val="204644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046436783"/>
        <c:crosses val="autoZero"/>
        <c:auto val="1"/>
        <c:lblAlgn val="ctr"/>
        <c:lblOffset val="100"/>
        <c:noMultiLvlLbl val="0"/>
      </c:catAx>
      <c:valAx>
        <c:axId val="2046436783"/>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204644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[Analystical Step.xlsx]Top 6 Ship Cities by Revenue!PivotTable1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sz="1400">
                <a:latin typeface="Garamond" panose="02020404030301010803" pitchFamily="18" charset="0"/>
              </a:rPr>
              <a:t>Top 6 Ship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c:spPr>
      </c:pivotFmt>
      <c:pivotFmt>
        <c:idx val="8"/>
        <c:spPr>
          <a:solidFill>
            <a:schemeClr val="accent5">
              <a:lumMod val="75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solidFill>
          <a:ln>
            <a:noFill/>
          </a:ln>
          <a:effectLst/>
        </c:spPr>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s>
    <c:plotArea>
      <c:layout/>
      <c:barChart>
        <c:barDir val="bar"/>
        <c:grouping val="clustered"/>
        <c:varyColors val="0"/>
        <c:ser>
          <c:idx val="0"/>
          <c:order val="0"/>
          <c:tx>
            <c:strRef>
              <c:f>'Top 6 Ship Cities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7AC1-4799-88A8-BEC1D4F60D4A}"/>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7AC1-4799-88A8-BEC1D4F60D4A}"/>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7AC1-4799-88A8-BEC1D4F60D4A}"/>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7AC1-4799-88A8-BEC1D4F60D4A}"/>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7AC1-4799-88A8-BEC1D4F60D4A}"/>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C-7AC1-4799-88A8-BEC1D4F60D4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_("$"* #,##0.00_);_("$"* \(#,##0.00\);_("$"* "-"??_);_(@_)</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A-7AC1-4799-88A8-BEC1D4F60D4A}"/>
            </c:ext>
          </c:extLst>
        </c:ser>
        <c:dLbls>
          <c:dLblPos val="outEnd"/>
          <c:showLegendKey val="0"/>
          <c:showVal val="1"/>
          <c:showCatName val="0"/>
          <c:showSerName val="0"/>
          <c:showPercent val="0"/>
          <c:showBubbleSize val="0"/>
        </c:dLbls>
        <c:gapWidth val="40"/>
        <c:axId val="2046447599"/>
        <c:axId val="2046436783"/>
      </c:barChart>
      <c:catAx>
        <c:axId val="20464475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046436783"/>
        <c:crosses val="autoZero"/>
        <c:auto val="1"/>
        <c:lblAlgn val="ctr"/>
        <c:lblOffset val="100"/>
        <c:noMultiLvlLbl val="0"/>
      </c:catAx>
      <c:valAx>
        <c:axId val="2046436783"/>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204644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[Analystical Step.xlsx]Sales Trend Report!PivotTable1</c:name>
    <c:fmtId val="18"/>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Garamond" panose="02020404030301010803" pitchFamily="18" charset="0"/>
                <a:ea typeface="+mn-ea"/>
                <a:cs typeface="+mn-cs"/>
              </a:defRPr>
            </a:pPr>
            <a:r>
              <a:rPr lang="en-US" sz="2800"/>
              <a:t>Sales Trend Report</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5"/>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8"/>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9"/>
        <c:spPr>
          <a:solidFill>
            <a:schemeClr val="accent1"/>
          </a:solidFill>
          <a:ln w="28575" cap="rnd">
            <a:solidFill>
              <a:schemeClr val="accent5">
                <a:lumMod val="50000"/>
              </a:schemeClr>
            </a:solidFill>
            <a:round/>
          </a:ln>
          <a:effectLst/>
        </c:spPr>
        <c:marker>
          <c:symbol val="none"/>
        </c:marker>
        <c:dLbl>
          <c:idx val="0"/>
          <c:layout>
            <c:manualLayout>
              <c:x val="-6.2408968376483333E-2"/>
              <c:y val="-4.977357365973943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0"/>
        <c:spPr>
          <a:solidFill>
            <a:schemeClr val="accent1"/>
          </a:solidFill>
          <a:ln w="28575" cap="rnd">
            <a:solidFill>
              <a:schemeClr val="accent5">
                <a:lumMod val="50000"/>
              </a:schemeClr>
            </a:solidFill>
            <a:round/>
          </a:ln>
          <a:effectLst/>
        </c:spPr>
        <c:marker>
          <c:symbol val="none"/>
        </c:marker>
        <c:dLbl>
          <c:idx val="0"/>
          <c:layout>
            <c:manualLayout>
              <c:x val="-6.4522016799899634E-2"/>
              <c:y val="-3.7707214384367069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1"/>
        <c:spPr>
          <a:solidFill>
            <a:schemeClr val="accent1"/>
          </a:solidFill>
          <a:ln w="28575" cap="rnd">
            <a:solidFill>
              <a:schemeClr val="accent5">
                <a:lumMod val="50000"/>
              </a:schemeClr>
            </a:solidFill>
            <a:round/>
          </a:ln>
          <a:effectLst/>
        </c:spPr>
        <c:marker>
          <c:symbol val="none"/>
        </c:marker>
        <c:dLbl>
          <c:idx val="0"/>
          <c:layout>
            <c:manualLayout>
              <c:x val="-3.2826290448655163E-2"/>
              <c:y val="6.686789933552674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2"/>
        <c:spPr>
          <a:solidFill>
            <a:schemeClr val="accent1"/>
          </a:solidFill>
          <a:ln w="28575" cap="rnd">
            <a:solidFill>
              <a:schemeClr val="accent5">
                <a:lumMod val="50000"/>
              </a:schemeClr>
            </a:solidFill>
            <a:round/>
          </a:ln>
          <a:effectLst/>
        </c:spPr>
        <c:marker>
          <c:symbol val="none"/>
        </c:marker>
        <c:dLbl>
          <c:idx val="0"/>
          <c:layout>
            <c:manualLayout>
              <c:x val="-6.4522016799899634E-2"/>
              <c:y val="-4.172933414282455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3"/>
        <c:spPr>
          <a:solidFill>
            <a:schemeClr val="accent1"/>
          </a:solidFill>
          <a:ln w="28575" cap="rnd">
            <a:solidFill>
              <a:schemeClr val="accent5">
                <a:lumMod val="50000"/>
              </a:schemeClr>
            </a:solidFill>
            <a:round/>
          </a:ln>
          <a:effectLst/>
        </c:spPr>
        <c:marker>
          <c:symbol val="none"/>
        </c:marker>
        <c:dLbl>
          <c:idx val="0"/>
          <c:layout>
            <c:manualLayout>
              <c:x val="-6.4522016799899717E-2"/>
              <c:y val="-4.977357365973950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4"/>
        <c:spPr>
          <a:solidFill>
            <a:schemeClr val="accent1"/>
          </a:solidFill>
          <a:ln w="28575" cap="rnd">
            <a:solidFill>
              <a:schemeClr val="accent5">
                <a:lumMod val="50000"/>
              </a:schemeClr>
            </a:solidFill>
            <a:round/>
          </a:ln>
          <a:effectLst/>
        </c:spPr>
        <c:marker>
          <c:symbol val="none"/>
        </c:marker>
        <c:dLbl>
          <c:idx val="0"/>
          <c:layout>
            <c:manualLayout>
              <c:x val="-6.4522016799899634E-2"/>
              <c:y val="-3.368509462590960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5"/>
        <c:spPr>
          <a:solidFill>
            <a:schemeClr val="accent1"/>
          </a:solidFill>
          <a:ln w="28575" cap="rnd">
            <a:solidFill>
              <a:schemeClr val="accent5">
                <a:lumMod val="50000"/>
              </a:schemeClr>
            </a:solidFill>
            <a:round/>
          </a:ln>
          <a:effectLst/>
        </c:spPr>
        <c:marker>
          <c:symbol val="none"/>
        </c:marker>
        <c:dLbl>
          <c:idx val="0"/>
          <c:layout>
            <c:manualLayout>
              <c:x val="-1.0073084854367859E-2"/>
              <c:y val="-4.575145390128199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6"/>
        <c:spPr>
          <a:solidFill>
            <a:schemeClr val="accent1"/>
          </a:solidFill>
          <a:ln w="28575" cap="rnd">
            <a:solidFill>
              <a:schemeClr val="accent5">
                <a:lumMod val="50000"/>
              </a:schemeClr>
            </a:solidFill>
            <a:round/>
          </a:ln>
          <a:effectLst/>
        </c:spPr>
        <c:marker>
          <c:symbol val="none"/>
        </c:marker>
      </c:pivotFmt>
      <c:pivotFmt>
        <c:idx val="47"/>
        <c:spPr>
          <a:solidFill>
            <a:schemeClr val="accent1"/>
          </a:solidFill>
          <a:ln w="28575" cap="rnd">
            <a:solidFill>
              <a:schemeClr val="accent5">
                <a:lumMod val="50000"/>
              </a:schemeClr>
            </a:solidFill>
            <a:round/>
          </a:ln>
          <a:effectLst/>
        </c:spPr>
        <c:marker>
          <c:symbol val="none"/>
        </c:marker>
      </c:pivotFmt>
      <c:pivotFmt>
        <c:idx val="48"/>
        <c:spPr>
          <a:solidFill>
            <a:schemeClr val="accent1"/>
          </a:solidFill>
          <a:ln w="28575" cap="rnd">
            <a:solidFill>
              <a:schemeClr val="accent5">
                <a:lumMod val="50000"/>
              </a:schemeClr>
            </a:solidFill>
            <a:round/>
          </a:ln>
          <a:effectLst/>
        </c:spPr>
        <c:marker>
          <c:symbol val="none"/>
        </c:marker>
      </c:pivotFmt>
      <c:pivotFmt>
        <c:idx val="49"/>
        <c:spPr>
          <a:solidFill>
            <a:schemeClr val="accent1"/>
          </a:solidFill>
          <a:ln w="28575" cap="rnd">
            <a:solidFill>
              <a:schemeClr val="accent5">
                <a:lumMod val="50000"/>
              </a:schemeClr>
            </a:solidFill>
            <a:round/>
          </a:ln>
          <a:effectLst/>
        </c:spPr>
        <c:marker>
          <c:symbol val="none"/>
        </c:marker>
      </c:pivotFmt>
      <c:pivotFmt>
        <c:idx val="50"/>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1"/>
        <c:spPr>
          <a:solidFill>
            <a:schemeClr val="accent1"/>
          </a:solidFill>
          <a:ln w="28575" cap="rnd">
            <a:solidFill>
              <a:schemeClr val="accent5">
                <a:lumMod val="50000"/>
              </a:schemeClr>
            </a:solidFill>
            <a:round/>
          </a:ln>
          <a:effectLst/>
        </c:spPr>
        <c:marker>
          <c:symbol val="none"/>
        </c:marker>
        <c:dLbl>
          <c:idx val="0"/>
          <c:layout>
            <c:manualLayout>
              <c:x val="-6.2408968376483333E-2"/>
              <c:y val="-4.977357365973943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2"/>
        <c:spPr>
          <a:solidFill>
            <a:schemeClr val="accent1"/>
          </a:solidFill>
          <a:ln w="28575" cap="rnd">
            <a:solidFill>
              <a:schemeClr val="accent5">
                <a:lumMod val="50000"/>
              </a:schemeClr>
            </a:solidFill>
            <a:round/>
          </a:ln>
          <a:effectLst/>
        </c:spPr>
        <c:marker>
          <c:symbol val="none"/>
        </c:marker>
      </c:pivotFmt>
      <c:pivotFmt>
        <c:idx val="53"/>
        <c:spPr>
          <a:solidFill>
            <a:schemeClr val="accent1"/>
          </a:solidFill>
          <a:ln w="28575" cap="rnd">
            <a:solidFill>
              <a:schemeClr val="accent5">
                <a:lumMod val="50000"/>
              </a:schemeClr>
            </a:solidFill>
            <a:round/>
          </a:ln>
          <a:effectLst/>
        </c:spPr>
        <c:marker>
          <c:symbol val="none"/>
        </c:marker>
        <c:dLbl>
          <c:idx val="0"/>
          <c:layout>
            <c:manualLayout>
              <c:x val="-6.4522016799899634E-2"/>
              <c:y val="-3.7707214384367069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4"/>
        <c:spPr>
          <a:solidFill>
            <a:schemeClr val="accent1"/>
          </a:solidFill>
          <a:ln w="28575" cap="rnd">
            <a:solidFill>
              <a:schemeClr val="accent5">
                <a:lumMod val="50000"/>
              </a:schemeClr>
            </a:solidFill>
            <a:round/>
          </a:ln>
          <a:effectLst/>
        </c:spPr>
        <c:marker>
          <c:symbol val="none"/>
        </c:marker>
      </c:pivotFmt>
      <c:pivotFmt>
        <c:idx val="55"/>
        <c:spPr>
          <a:solidFill>
            <a:schemeClr val="accent1"/>
          </a:solidFill>
          <a:ln w="28575" cap="rnd">
            <a:solidFill>
              <a:schemeClr val="accent5">
                <a:lumMod val="50000"/>
              </a:schemeClr>
            </a:solidFill>
            <a:round/>
          </a:ln>
          <a:effectLst/>
        </c:spPr>
        <c:marker>
          <c:symbol val="none"/>
        </c:marker>
        <c:dLbl>
          <c:idx val="0"/>
          <c:layout>
            <c:manualLayout>
              <c:x val="-3.2826290448655163E-2"/>
              <c:y val="6.686789933552674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6"/>
        <c:spPr>
          <a:solidFill>
            <a:schemeClr val="accent1"/>
          </a:solidFill>
          <a:ln w="28575" cap="rnd">
            <a:solidFill>
              <a:schemeClr val="accent5">
                <a:lumMod val="50000"/>
              </a:schemeClr>
            </a:solidFill>
            <a:round/>
          </a:ln>
          <a:effectLst/>
        </c:spPr>
        <c:marker>
          <c:symbol val="none"/>
        </c:marker>
        <c:dLbl>
          <c:idx val="0"/>
          <c:layout>
            <c:manualLayout>
              <c:x val="-6.4522016799899634E-2"/>
              <c:y val="-4.172933414282455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7"/>
        <c:spPr>
          <a:solidFill>
            <a:schemeClr val="accent1"/>
          </a:solidFill>
          <a:ln w="28575" cap="rnd">
            <a:solidFill>
              <a:schemeClr val="accent5">
                <a:lumMod val="50000"/>
              </a:schemeClr>
            </a:solidFill>
            <a:round/>
          </a:ln>
          <a:effectLst/>
        </c:spPr>
        <c:marker>
          <c:symbol val="none"/>
        </c:marker>
      </c:pivotFmt>
      <c:pivotFmt>
        <c:idx val="58"/>
        <c:spPr>
          <a:solidFill>
            <a:schemeClr val="accent1"/>
          </a:solidFill>
          <a:ln w="28575" cap="rnd">
            <a:solidFill>
              <a:schemeClr val="accent5">
                <a:lumMod val="50000"/>
              </a:schemeClr>
            </a:solidFill>
            <a:round/>
          </a:ln>
          <a:effectLst/>
        </c:spPr>
        <c:marker>
          <c:symbol val="none"/>
        </c:marker>
        <c:dLbl>
          <c:idx val="0"/>
          <c:layout>
            <c:manualLayout>
              <c:x val="-6.4522016799899717E-2"/>
              <c:y val="-4.977357365973950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9"/>
        <c:spPr>
          <a:solidFill>
            <a:schemeClr val="accent1"/>
          </a:solidFill>
          <a:ln w="28575" cap="rnd">
            <a:solidFill>
              <a:schemeClr val="accent5">
                <a:lumMod val="50000"/>
              </a:schemeClr>
            </a:solidFill>
            <a:round/>
          </a:ln>
          <a:effectLst/>
        </c:spPr>
        <c:marker>
          <c:symbol val="none"/>
        </c:marker>
      </c:pivotFmt>
      <c:pivotFmt>
        <c:idx val="60"/>
        <c:spPr>
          <a:solidFill>
            <a:schemeClr val="accent1"/>
          </a:solidFill>
          <a:ln w="28575" cap="rnd">
            <a:solidFill>
              <a:schemeClr val="accent5">
                <a:lumMod val="50000"/>
              </a:schemeClr>
            </a:solidFill>
            <a:round/>
          </a:ln>
          <a:effectLst/>
        </c:spPr>
        <c:marker>
          <c:symbol val="none"/>
        </c:marker>
        <c:dLbl>
          <c:idx val="0"/>
          <c:layout>
            <c:manualLayout>
              <c:x val="-6.4522016799899634E-2"/>
              <c:y val="-3.368509462590960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1"/>
        <c:spPr>
          <a:solidFill>
            <a:schemeClr val="accent1"/>
          </a:solidFill>
          <a:ln w="28575" cap="rnd">
            <a:solidFill>
              <a:schemeClr val="accent5">
                <a:lumMod val="50000"/>
              </a:schemeClr>
            </a:solidFill>
            <a:round/>
          </a:ln>
          <a:effectLst/>
        </c:spPr>
        <c:marker>
          <c:symbol val="none"/>
        </c:marker>
        <c:dLbl>
          <c:idx val="0"/>
          <c:layout>
            <c:manualLayout>
              <c:x val="-1.0073084854367859E-2"/>
              <c:y val="-4.575145390128199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2"/>
        <c:spPr>
          <a:ln w="28575" cap="rnd">
            <a:solidFill>
              <a:schemeClr val="accent5">
                <a:lumMod val="50000"/>
              </a:schemeClr>
            </a:solidFill>
            <a:round/>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3"/>
        <c:spPr>
          <a:ln w="28575" cap="rnd">
            <a:solidFill>
              <a:schemeClr val="accent5">
                <a:lumMod val="50000"/>
              </a:schemeClr>
            </a:solidFill>
            <a:round/>
          </a:ln>
          <a:effectLst/>
        </c:spPr>
        <c:marker>
          <c:symbol val="none"/>
        </c:marker>
        <c:dLbl>
          <c:idx val="0"/>
          <c:layout>
            <c:manualLayout>
              <c:x val="-6.2408968376483333E-2"/>
              <c:y val="-4.9773573659739438E-2"/>
            </c:manualLayout>
          </c:layout>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4"/>
        <c:spPr>
          <a:ln w="28575" cap="rnd">
            <a:solidFill>
              <a:schemeClr val="accent5">
                <a:lumMod val="50000"/>
              </a:schemeClr>
            </a:solidFill>
            <a:round/>
          </a:ln>
          <a:effectLst/>
        </c:spPr>
        <c:marker>
          <c:symbol val="none"/>
        </c:marker>
      </c:pivotFmt>
      <c:pivotFmt>
        <c:idx val="65"/>
        <c:spPr>
          <a:ln w="28575" cap="rnd">
            <a:solidFill>
              <a:schemeClr val="accent5">
                <a:lumMod val="50000"/>
              </a:schemeClr>
            </a:solidFill>
            <a:round/>
          </a:ln>
          <a:effectLst/>
        </c:spPr>
        <c:marker>
          <c:symbol val="none"/>
        </c:marker>
        <c:dLbl>
          <c:idx val="0"/>
          <c:layout>
            <c:manualLayout>
              <c:x val="-2.1332320503035865E-2"/>
              <c:y val="-0.1071518103506293"/>
            </c:manualLayout>
          </c:layout>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6"/>
        <c:spPr>
          <a:ln w="28575" cap="rnd">
            <a:solidFill>
              <a:schemeClr val="accent5">
                <a:lumMod val="50000"/>
              </a:schemeClr>
            </a:solidFill>
            <a:round/>
          </a:ln>
          <a:effectLst/>
        </c:spPr>
        <c:marker>
          <c:symbol val="none"/>
        </c:marker>
      </c:pivotFmt>
      <c:pivotFmt>
        <c:idx val="67"/>
        <c:spPr>
          <a:ln w="28575" cap="rnd">
            <a:solidFill>
              <a:schemeClr val="accent5">
                <a:lumMod val="50000"/>
              </a:schemeClr>
            </a:solidFill>
            <a:round/>
          </a:ln>
          <a:effectLst/>
        </c:spPr>
        <c:marker>
          <c:symbol val="none"/>
        </c:marker>
        <c:dLbl>
          <c:idx val="0"/>
          <c:layout>
            <c:manualLayout>
              <c:x val="-3.2826290448655163E-2"/>
              <c:y val="6.686789933552674E-2"/>
            </c:manualLayout>
          </c:layout>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8"/>
        <c:spPr>
          <a:ln w="28575" cap="rnd">
            <a:solidFill>
              <a:schemeClr val="accent5">
                <a:lumMod val="50000"/>
              </a:schemeClr>
            </a:solidFill>
            <a:round/>
          </a:ln>
          <a:effectLst/>
        </c:spPr>
        <c:marker>
          <c:symbol val="none"/>
        </c:marker>
        <c:dLbl>
          <c:idx val="0"/>
          <c:layout>
            <c:manualLayout>
              <c:x val="-4.1032872118481098E-2"/>
              <c:y val="-7.9122501514233792E-2"/>
            </c:manualLayout>
          </c:layout>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9"/>
        <c:spPr>
          <a:ln w="28575" cap="rnd">
            <a:solidFill>
              <a:schemeClr val="accent5">
                <a:lumMod val="50000"/>
              </a:schemeClr>
            </a:solidFill>
            <a:round/>
          </a:ln>
          <a:effectLst/>
        </c:spPr>
        <c:marker>
          <c:symbol val="none"/>
        </c:marker>
      </c:pivotFmt>
      <c:pivotFmt>
        <c:idx val="70"/>
        <c:spPr>
          <a:ln w="28575" cap="rnd">
            <a:solidFill>
              <a:schemeClr val="accent5">
                <a:lumMod val="50000"/>
              </a:schemeClr>
            </a:solidFill>
            <a:round/>
          </a:ln>
          <a:effectLst/>
        </c:spPr>
        <c:marker>
          <c:symbol val="none"/>
        </c:marker>
        <c:dLbl>
          <c:idx val="0"/>
          <c:layout>
            <c:manualLayout>
              <c:x val="-4.7852293831519829E-2"/>
              <c:y val="-0.11387627027390812"/>
            </c:manualLayout>
          </c:layout>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1"/>
        <c:spPr>
          <a:ln w="28575" cap="rnd">
            <a:solidFill>
              <a:schemeClr val="accent5">
                <a:lumMod val="50000"/>
              </a:schemeClr>
            </a:solidFill>
            <a:round/>
          </a:ln>
          <a:effectLst/>
        </c:spPr>
        <c:marker>
          <c:symbol val="none"/>
        </c:marker>
      </c:pivotFmt>
      <c:pivotFmt>
        <c:idx val="72"/>
        <c:spPr>
          <a:ln w="28575" cap="rnd">
            <a:solidFill>
              <a:schemeClr val="accent5">
                <a:lumMod val="50000"/>
              </a:schemeClr>
            </a:solidFill>
            <a:round/>
          </a:ln>
          <a:effectLst/>
        </c:spPr>
        <c:marker>
          <c:symbol val="none"/>
        </c:marker>
        <c:dLbl>
          <c:idx val="0"/>
          <c:layout>
            <c:manualLayout>
              <c:x val="-3.2698023358100424E-2"/>
              <c:y val="-8.1761895147721919E-2"/>
            </c:manualLayout>
          </c:layout>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3"/>
        <c:spPr>
          <a:ln w="28575" cap="rnd">
            <a:solidFill>
              <a:schemeClr val="accent5">
                <a:lumMod val="50000"/>
              </a:schemeClr>
            </a:solidFill>
            <a:round/>
          </a:ln>
          <a:effectLst/>
        </c:spPr>
        <c:marker>
          <c:symbol val="none"/>
        </c:marker>
        <c:dLbl>
          <c:idx val="0"/>
          <c:layout>
            <c:manualLayout>
              <c:x val="-1.0073084854367859E-2"/>
              <c:y val="-4.5751453901281998E-2"/>
            </c:manualLayout>
          </c:layout>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4"/>
        <c:spPr>
          <a:ln w="28575" cap="rnd">
            <a:solidFill>
              <a:schemeClr val="accent5">
                <a:lumMod val="50000"/>
              </a:schemeClr>
            </a:solidFill>
            <a:round/>
          </a:ln>
          <a:effectLst/>
        </c:spPr>
        <c:marker>
          <c:symbol val="none"/>
        </c:marker>
      </c:pivotFmt>
    </c:pivotFmts>
    <c:plotArea>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44E8-44EA-9C58-BCB8E936212B}"/>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44E8-44EA-9C58-BCB8E936212B}"/>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44E8-44EA-9C58-BCB8E936212B}"/>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44E8-44EA-9C58-BCB8E936212B}"/>
              </c:ext>
            </c:extLst>
          </c:dPt>
          <c:dPt>
            <c:idx val="4"/>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9-44E8-44EA-9C58-BCB8E936212B}"/>
              </c:ext>
            </c:extLst>
          </c:dPt>
          <c:dPt>
            <c:idx val="5"/>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B-44E8-44EA-9C58-BCB8E936212B}"/>
              </c:ext>
            </c:extLst>
          </c:dPt>
          <c:dPt>
            <c:idx val="6"/>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D-44E8-44EA-9C58-BCB8E936212B}"/>
              </c:ext>
            </c:extLst>
          </c:dPt>
          <c:dPt>
            <c:idx val="7"/>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F-44E8-44EA-9C58-BCB8E936212B}"/>
              </c:ext>
            </c:extLst>
          </c:dPt>
          <c:dPt>
            <c:idx val="8"/>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1-44E8-44EA-9C58-BCB8E936212B}"/>
              </c:ext>
            </c:extLst>
          </c:dPt>
          <c:dPt>
            <c:idx val="9"/>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3-44E8-44EA-9C58-BCB8E936212B}"/>
              </c:ext>
            </c:extLst>
          </c:dPt>
          <c:dPt>
            <c:idx val="1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4-1285-4EE4-9F88-38256C6D8336}"/>
              </c:ext>
            </c:extLst>
          </c:dPt>
          <c:dPt>
            <c:idx val="1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15-44E8-44EA-9C58-BCB8E936212B}"/>
              </c:ext>
            </c:extLst>
          </c:dPt>
          <c:dLbls>
            <c:dLbl>
              <c:idx val="0"/>
              <c:layout>
                <c:manualLayout>
                  <c:x val="-6.2408968376483333E-2"/>
                  <c:y val="-4.97735736597394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E8-44EA-9C58-BCB8E936212B}"/>
                </c:ext>
              </c:extLst>
            </c:dLbl>
            <c:dLbl>
              <c:idx val="2"/>
              <c:layout>
                <c:manualLayout>
                  <c:x val="-2.1332320503035865E-2"/>
                  <c:y val="-0.10715181035062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E8-44EA-9C58-BCB8E936212B}"/>
                </c:ext>
              </c:extLst>
            </c:dLbl>
            <c:dLbl>
              <c:idx val="4"/>
              <c:layout>
                <c:manualLayout>
                  <c:x val="-3.2826290448655163E-2"/>
                  <c:y val="6.6867899335526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4E8-44EA-9C58-BCB8E936212B}"/>
                </c:ext>
              </c:extLst>
            </c:dLbl>
            <c:dLbl>
              <c:idx val="5"/>
              <c:layout>
                <c:manualLayout>
                  <c:x val="-4.1032872118481098E-2"/>
                  <c:y val="-7.91225015142337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4E8-44EA-9C58-BCB8E936212B}"/>
                </c:ext>
              </c:extLst>
            </c:dLbl>
            <c:dLbl>
              <c:idx val="7"/>
              <c:layout>
                <c:manualLayout>
                  <c:x val="-4.7852293831519829E-2"/>
                  <c:y val="-0.113876270273908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4E8-44EA-9C58-BCB8E936212B}"/>
                </c:ext>
              </c:extLst>
            </c:dLbl>
            <c:dLbl>
              <c:idx val="9"/>
              <c:layout>
                <c:manualLayout>
                  <c:x val="-3.2698023358100424E-2"/>
                  <c:y val="-8.17618951477219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4E8-44EA-9C58-BCB8E936212B}"/>
                </c:ext>
              </c:extLst>
            </c:dLbl>
            <c:dLbl>
              <c:idx val="11"/>
              <c:layout>
                <c:manualLayout>
                  <c:x val="-1.0073084854367859E-2"/>
                  <c:y val="-4.57514539012819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4E8-44EA-9C58-BCB8E936212B}"/>
                </c:ext>
              </c:extLst>
            </c:dLbl>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_("$"* #,##0.00_);_("$"* \(#,##0.00\);_("$"* "-"??_);_(@_)</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16-44E8-44EA-9C58-BCB8E936212B}"/>
            </c:ext>
          </c:extLst>
        </c:ser>
        <c:dLbls>
          <c:showLegendKey val="0"/>
          <c:showVal val="1"/>
          <c:showCatName val="0"/>
          <c:showSerName val="0"/>
          <c:showPercent val="0"/>
          <c:showBubbleSize val="0"/>
        </c:dLbls>
        <c:smooth val="0"/>
        <c:axId val="1977391231"/>
        <c:axId val="1977391647"/>
      </c:lineChart>
      <c:catAx>
        <c:axId val="197739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sz="2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977391647"/>
        <c:crosses val="autoZero"/>
        <c:auto val="1"/>
        <c:lblAlgn val="ctr"/>
        <c:lblOffset val="100"/>
        <c:noMultiLvlLbl val="0"/>
      </c:catAx>
      <c:valAx>
        <c:axId val="1977391647"/>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97739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sz="24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[Analystical Step.xlsx]Sales Performance by Sales Reps!PivotTable1</c:name>
    <c:fmtId val="15"/>
  </c:pivotSource>
  <c:chart>
    <c:title>
      <c:tx>
        <c:rich>
          <a:bodyPr rot="0" spcFirstLastPara="1" vertOverflow="ellipsis" vert="horz" wrap="square" anchor="ctr" anchorCtr="1"/>
          <a:lstStyle/>
          <a:p>
            <a:pPr>
              <a:defRPr sz="2880" b="0" i="0" u="none" strike="noStrike" kern="1200" spc="0" baseline="0">
                <a:solidFill>
                  <a:schemeClr val="tx1">
                    <a:lumMod val="65000"/>
                    <a:lumOff val="35000"/>
                  </a:schemeClr>
                </a:solidFill>
                <a:latin typeface="Garamond" panose="02020404030301010803" pitchFamily="18" charset="0"/>
                <a:ea typeface="+mn-ea"/>
                <a:cs typeface="+mn-cs"/>
              </a:defRPr>
            </a:pPr>
            <a:r>
              <a:rPr lang="en-US"/>
              <a:t>Sales Performance Analysis by Reps</a:t>
            </a:r>
          </a:p>
        </c:rich>
      </c:tx>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5">
              <a:lumMod val="50000"/>
            </a:schemeClr>
          </a:solidFill>
          <a:ln>
            <a:noFill/>
          </a:ln>
          <a:effectLst/>
        </c:spPr>
        <c:dLbl>
          <c:idx val="0"/>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984804204438983"/>
                  <c:h val="0.23652694610778438"/>
                </c:manualLayout>
              </c15:layout>
            </c:ext>
          </c:extLst>
        </c:dLbl>
      </c:pivotFmt>
      <c:pivotFmt>
        <c:idx val="20"/>
        <c:spPr>
          <a:solidFill>
            <a:schemeClr val="accent5">
              <a:lumMod val="75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60000"/>
              <a:lumOff val="40000"/>
            </a:schemeClr>
          </a:solidFill>
          <a:ln>
            <a:noFill/>
          </a:ln>
          <a:effectLst/>
        </c:spPr>
      </c:pivotFmt>
      <c:pivotFmt>
        <c:idx val="24"/>
        <c:spPr>
          <a:solidFill>
            <a:schemeClr val="accent5">
              <a:lumMod val="40000"/>
              <a:lumOff val="6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s>
    <c:plotArea>
      <c:layout>
        <c:manualLayout>
          <c:layoutTarget val="inner"/>
          <c:xMode val="edge"/>
          <c:yMode val="edge"/>
          <c:x val="0.25162555404569703"/>
          <c:y val="0.21789753825681971"/>
          <c:w val="0.71061505535803293"/>
          <c:h val="0.73636061210911508"/>
        </c:manualLayout>
      </c:layout>
      <c:barChart>
        <c:barDir val="bar"/>
        <c:grouping val="clustered"/>
        <c:varyColors val="0"/>
        <c:ser>
          <c:idx val="0"/>
          <c:order val="0"/>
          <c:tx>
            <c:strRef>
              <c:f>'Sales Performance by Sales Reps'!$B$3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18DA-4049-942A-2FB46609A33E}"/>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18DA-4049-942A-2FB46609A33E}"/>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18DA-4049-942A-2FB46609A33E}"/>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18DA-4049-942A-2FB46609A33E}"/>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18DA-4049-942A-2FB46609A33E}"/>
              </c:ext>
            </c:extLst>
          </c:dPt>
          <c:dPt>
            <c:idx val="5"/>
            <c:invertIfNegative val="0"/>
            <c:bubble3D val="0"/>
            <c:extLst>
              <c:ext xmlns:c16="http://schemas.microsoft.com/office/drawing/2014/chart" uri="{C3380CC4-5D6E-409C-BE32-E72D297353CC}">
                <c16:uniqueId val="{0000000B-18DA-4049-942A-2FB46609A33E}"/>
              </c:ext>
            </c:extLst>
          </c:dPt>
          <c:dPt>
            <c:idx val="6"/>
            <c:invertIfNegative val="0"/>
            <c:bubble3D val="0"/>
            <c:extLst>
              <c:ext xmlns:c16="http://schemas.microsoft.com/office/drawing/2014/chart" uri="{C3380CC4-5D6E-409C-BE32-E72D297353CC}">
                <c16:uniqueId val="{0000000D-18DA-4049-942A-2FB46609A33E}"/>
              </c:ext>
            </c:extLst>
          </c:dPt>
          <c:dPt>
            <c:idx val="7"/>
            <c:invertIfNegative val="0"/>
            <c:bubble3D val="0"/>
            <c:extLst>
              <c:ext xmlns:c16="http://schemas.microsoft.com/office/drawing/2014/chart" uri="{C3380CC4-5D6E-409C-BE32-E72D297353CC}">
                <c16:uniqueId val="{0000000F-18DA-4049-942A-2FB46609A33E}"/>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984804204438983"/>
                      <c:h val="0.23652694610778438"/>
                    </c:manualLayout>
                  </c15:layout>
                </c:ext>
                <c:ext xmlns:c16="http://schemas.microsoft.com/office/drawing/2014/chart" uri="{C3380CC4-5D6E-409C-BE32-E72D297353CC}">
                  <c16:uniqueId val="{00000001-18DA-4049-942A-2FB46609A33E}"/>
                </c:ext>
              </c:extLst>
            </c:dLbl>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'Sales Performance by Sales Reps'!$A$4:$A$9</c:f>
              <c:strCache>
                <c:ptCount val="5"/>
                <c:pt idx="0">
                  <c:v>Nancy Freehafer</c:v>
                </c:pt>
                <c:pt idx="1">
                  <c:v>Anne Larsen</c:v>
                </c:pt>
                <c:pt idx="2">
                  <c:v>Andrew Cencini</c:v>
                </c:pt>
                <c:pt idx="3">
                  <c:v>Mariya Sergienko</c:v>
                </c:pt>
                <c:pt idx="4">
                  <c:v>Laura Giussani</c:v>
                </c:pt>
              </c:strCache>
            </c:strRef>
          </c:cat>
          <c:val>
            <c:numRef>
              <c:f>'Sales Performance by Sales Reps'!$B$4:$B$9</c:f>
              <c:numCache>
                <c:formatCode>_("$"* #,##0.00_);_("$"* \(#,##0.00\);_("$"* "-"??_);_(@_)</c:formatCode>
                <c:ptCount val="5"/>
                <c:pt idx="0">
                  <c:v>104252.33999999997</c:v>
                </c:pt>
                <c:pt idx="1">
                  <c:v>93858.329999999987</c:v>
                </c:pt>
                <c:pt idx="2">
                  <c:v>67180.5</c:v>
                </c:pt>
                <c:pt idx="3">
                  <c:v>42370.880000000005</c:v>
                </c:pt>
                <c:pt idx="4">
                  <c:v>41095.01</c:v>
                </c:pt>
              </c:numCache>
            </c:numRef>
          </c:val>
          <c:extLst>
            <c:ext xmlns:c16="http://schemas.microsoft.com/office/drawing/2014/chart" uri="{C3380CC4-5D6E-409C-BE32-E72D297353CC}">
              <c16:uniqueId val="{00000010-18DA-4049-942A-2FB46609A33E}"/>
            </c:ext>
          </c:extLst>
        </c:ser>
        <c:dLbls>
          <c:dLblPos val="outEnd"/>
          <c:showLegendKey val="0"/>
          <c:showVal val="1"/>
          <c:showCatName val="0"/>
          <c:showSerName val="0"/>
          <c:showPercent val="0"/>
          <c:showBubbleSize val="0"/>
        </c:dLbls>
        <c:gapWidth val="20"/>
        <c:axId val="1977391231"/>
        <c:axId val="1977391647"/>
      </c:barChart>
      <c:catAx>
        <c:axId val="1977391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sz="2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977391647"/>
        <c:crosses val="autoZero"/>
        <c:auto val="1"/>
        <c:lblAlgn val="ctr"/>
        <c:lblOffset val="100"/>
        <c:noMultiLvlLbl val="0"/>
      </c:catAx>
      <c:valAx>
        <c:axId val="1977391647"/>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97739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sz="24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[Analystical Step.xlsx]Sales Performance by Region!PivotTable1</c:name>
    <c:fmtId val="16"/>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Garamond" panose="02020404030301010803" pitchFamily="18" charset="0"/>
                <a:ea typeface="+mn-ea"/>
                <a:cs typeface="+mn-cs"/>
              </a:defRPr>
            </a:pPr>
            <a:r>
              <a:rPr lang="en-US" sz="2800"/>
              <a:t>Sales Performance Analysis by Region</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5">
              <a:lumMod val="50000"/>
            </a:schemeClr>
          </a:solidFill>
          <a:ln>
            <a:noFill/>
          </a:ln>
          <a:effectLst/>
        </c:spPr>
        <c:dLbl>
          <c:idx val="0"/>
          <c:layout>
            <c:manualLayout>
              <c:x val="2.545511420011046E-2"/>
              <c:y val="3.568221960203817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5">
              <a:lumMod val="75000"/>
            </a:schemeClr>
          </a:solidFill>
          <a:ln>
            <a:noFill/>
          </a:ln>
          <a:effectLst/>
        </c:spPr>
        <c:dLbl>
          <c:idx val="0"/>
          <c:layout>
            <c:manualLayout>
              <c:x val="8.9867006847607733E-2"/>
              <c:y val="-2.091692295803789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5">
              <a:lumMod val="60000"/>
              <a:lumOff val="40000"/>
            </a:schemeClr>
          </a:solidFill>
          <a:ln>
            <a:noFill/>
          </a:ln>
          <a:effectLst/>
        </c:spPr>
        <c:dLbl>
          <c:idx val="0"/>
          <c:layout>
            <c:manualLayout>
              <c:x val="-6.46165877310029E-2"/>
              <c:y val="-3.4399575112136455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5">
              <a:lumMod val="40000"/>
              <a:lumOff val="60000"/>
            </a:schemeClr>
          </a:solidFill>
          <a:ln>
            <a:noFill/>
          </a:ln>
          <a:effectLst/>
        </c:spPr>
        <c:dLbl>
          <c:idx val="0"/>
          <c:layout>
            <c:manualLayout>
              <c:x val="-8.2130823032595793E-2"/>
              <c:y val="8.0666303725781374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chemeClr val="accent5">
              <a:lumMod val="50000"/>
            </a:schemeClr>
          </a:solidFill>
          <a:ln>
            <a:noFill/>
          </a:ln>
          <a:effectLst/>
        </c:spPr>
        <c:dLbl>
          <c:idx val="0"/>
          <c:layout>
            <c:manualLayout>
              <c:x val="2.545511420011046E-2"/>
              <c:y val="3.568221960203817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chemeClr val="accent5">
              <a:lumMod val="75000"/>
            </a:schemeClr>
          </a:solidFill>
          <a:ln>
            <a:noFill/>
          </a:ln>
          <a:effectLst/>
        </c:spPr>
        <c:dLbl>
          <c:idx val="0"/>
          <c:layout>
            <c:manualLayout>
              <c:x val="8.9867006847607733E-2"/>
              <c:y val="-2.091692295803789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chemeClr val="accent5">
              <a:lumMod val="60000"/>
              <a:lumOff val="40000"/>
            </a:schemeClr>
          </a:solidFill>
          <a:ln>
            <a:noFill/>
          </a:ln>
          <a:effectLst/>
        </c:spPr>
        <c:dLbl>
          <c:idx val="0"/>
          <c:layout>
            <c:manualLayout>
              <c:x val="-6.46165877310029E-2"/>
              <c:y val="-3.4399575112136455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chemeClr val="accent5">
              <a:lumMod val="40000"/>
              <a:lumOff val="60000"/>
            </a:schemeClr>
          </a:solidFill>
          <a:ln>
            <a:noFill/>
          </a:ln>
          <a:effectLst/>
        </c:spPr>
        <c:dLbl>
          <c:idx val="0"/>
          <c:layout>
            <c:manualLayout>
              <c:x val="-8.2130823032595793E-2"/>
              <c:y val="8.0666303725781374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solidFill>
            <a:schemeClr val="accent5">
              <a:lumMod val="50000"/>
            </a:schemeClr>
          </a:solidFill>
          <a:ln>
            <a:noFill/>
          </a:ln>
          <a:effectLst/>
        </c:spPr>
        <c:dLbl>
          <c:idx val="0"/>
          <c:layout>
            <c:manualLayout>
              <c:x val="2.545511420011046E-2"/>
              <c:y val="3.568221960203817E-2"/>
            </c:manualLayout>
          </c:layout>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chemeClr val="accent5">
              <a:lumMod val="75000"/>
            </a:schemeClr>
          </a:solidFill>
          <a:ln>
            <a:noFill/>
          </a:ln>
          <a:effectLst/>
        </c:spPr>
        <c:dLbl>
          <c:idx val="0"/>
          <c:layout>
            <c:manualLayout>
              <c:x val="8.9867006847607733E-2"/>
              <c:y val="-2.091692295803789E-2"/>
            </c:manualLayout>
          </c:layout>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solidFill>
            <a:schemeClr val="accent5">
              <a:lumMod val="60000"/>
              <a:lumOff val="40000"/>
            </a:schemeClr>
          </a:solidFill>
          <a:ln>
            <a:noFill/>
          </a:ln>
          <a:effectLst/>
        </c:spPr>
        <c:dLbl>
          <c:idx val="0"/>
          <c:layout>
            <c:manualLayout>
              <c:x val="-6.46165877310029E-2"/>
              <c:y val="-3.4399575112136455E-2"/>
            </c:manualLayout>
          </c:layout>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solidFill>
            <a:schemeClr val="accent5">
              <a:lumMod val="40000"/>
              <a:lumOff val="60000"/>
            </a:schemeClr>
          </a:solidFill>
          <a:ln>
            <a:noFill/>
          </a:ln>
          <a:effectLst/>
        </c:spPr>
        <c:dLbl>
          <c:idx val="0"/>
          <c:layout>
            <c:manualLayout>
              <c:x val="-8.2130823032595793E-2"/>
              <c:y val="8.0666303725781374E-2"/>
            </c:manualLayout>
          </c:layout>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pieChart>
        <c:varyColors val="1"/>
        <c:ser>
          <c:idx val="0"/>
          <c:order val="0"/>
          <c:tx>
            <c:strRef>
              <c:f>'Sales Performance by Region'!$B$3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1-2FE3-4D79-8936-CF59636474BD}"/>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2FE3-4D79-8936-CF59636474BD}"/>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2FE3-4D79-8936-CF59636474BD}"/>
              </c:ext>
            </c:extLst>
          </c:dPt>
          <c:dPt>
            <c:idx val="3"/>
            <c:bubble3D val="0"/>
            <c:spPr>
              <a:solidFill>
                <a:schemeClr val="accent5">
                  <a:lumMod val="40000"/>
                  <a:lumOff val="60000"/>
                </a:schemeClr>
              </a:solidFill>
              <a:ln>
                <a:noFill/>
              </a:ln>
              <a:effectLst/>
            </c:spPr>
            <c:extLst>
              <c:ext xmlns:c16="http://schemas.microsoft.com/office/drawing/2014/chart" uri="{C3380CC4-5D6E-409C-BE32-E72D297353CC}">
                <c16:uniqueId val="{00000007-2FE3-4D79-8936-CF59636474BD}"/>
              </c:ext>
            </c:extLst>
          </c:dPt>
          <c:dPt>
            <c:idx val="4"/>
            <c:bubble3D val="0"/>
            <c:spPr>
              <a:solidFill>
                <a:schemeClr val="accent5"/>
              </a:solidFill>
              <a:ln>
                <a:noFill/>
              </a:ln>
              <a:effectLst/>
            </c:spPr>
            <c:extLst>
              <c:ext xmlns:c16="http://schemas.microsoft.com/office/drawing/2014/chart" uri="{C3380CC4-5D6E-409C-BE32-E72D297353CC}">
                <c16:uniqueId val="{00000009-2FE3-4D79-8936-CF59636474BD}"/>
              </c:ext>
            </c:extLst>
          </c:dPt>
          <c:dPt>
            <c:idx val="5"/>
            <c:bubble3D val="0"/>
            <c:spPr>
              <a:solidFill>
                <a:schemeClr val="accent6"/>
              </a:solidFill>
              <a:ln>
                <a:noFill/>
              </a:ln>
              <a:effectLst/>
            </c:spPr>
            <c:extLst>
              <c:ext xmlns:c16="http://schemas.microsoft.com/office/drawing/2014/chart" uri="{C3380CC4-5D6E-409C-BE32-E72D297353CC}">
                <c16:uniqueId val="{0000000B-2FE3-4D79-8936-CF59636474B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FE3-4D79-8936-CF59636474B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FE3-4D79-8936-CF59636474BD}"/>
              </c:ext>
            </c:extLst>
          </c:dPt>
          <c:dLbls>
            <c:dLbl>
              <c:idx val="0"/>
              <c:layout>
                <c:manualLayout>
                  <c:x val="2.545511420011046E-2"/>
                  <c:y val="3.5682219602038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E3-4D79-8936-CF59636474BD}"/>
                </c:ext>
              </c:extLst>
            </c:dLbl>
            <c:dLbl>
              <c:idx val="1"/>
              <c:layout>
                <c:manualLayout>
                  <c:x val="8.9867006847607733E-2"/>
                  <c:y val="-2.091692295803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E3-4D79-8936-CF59636474BD}"/>
                </c:ext>
              </c:extLst>
            </c:dLbl>
            <c:dLbl>
              <c:idx val="2"/>
              <c:layout>
                <c:manualLayout>
                  <c:x val="-6.46165877310029E-2"/>
                  <c:y val="-3.43995751121364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FE3-4D79-8936-CF59636474BD}"/>
                </c:ext>
              </c:extLst>
            </c:dLbl>
            <c:dLbl>
              <c:idx val="3"/>
              <c:layout>
                <c:manualLayout>
                  <c:x val="-8.2130823032595793E-2"/>
                  <c:y val="8.06663037257813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FE3-4D79-8936-CF59636474BD}"/>
                </c:ext>
              </c:extLst>
            </c:dLbl>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'Sales Performance by Region'!$A$4:$A$8</c:f>
              <c:strCache>
                <c:ptCount val="4"/>
                <c:pt idx="0">
                  <c:v>North</c:v>
                </c:pt>
                <c:pt idx="1">
                  <c:v>East</c:v>
                </c:pt>
                <c:pt idx="2">
                  <c:v>South</c:v>
                </c:pt>
                <c:pt idx="3">
                  <c:v>West</c:v>
                </c:pt>
              </c:strCache>
            </c:strRef>
          </c:cat>
          <c:val>
            <c:numRef>
              <c:f>'Sales Performance by Region'!$B$4:$B$8</c:f>
              <c:numCache>
                <c:formatCode>_("$"* #,##0.00_);_("$"* \(#,##0.00\);_("$"* "-"??_);_(@_)</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10-2FE3-4D79-8936-CF59636474B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sz="24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[Analystical Step.xlsx]Top Five Customers!PivotTable1</c:name>
    <c:fmtId val="16"/>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Garamond" panose="02020404030301010803" pitchFamily="18" charset="0"/>
                <a:ea typeface="+mn-ea"/>
                <a:cs typeface="+mn-cs"/>
              </a:defRPr>
            </a:pPr>
            <a:r>
              <a:rPr lang="en-US" sz="2800"/>
              <a:t>Top Five Customers</a:t>
            </a:r>
          </a:p>
        </c:rich>
      </c:tx>
      <c:layout>
        <c:manualLayout>
          <c:xMode val="edge"/>
          <c:yMode val="edge"/>
          <c:x val="0.37790361252311822"/>
          <c:y val="2.0791749833666003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5"/>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8"/>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9"/>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0"/>
        <c:spPr>
          <a:solidFill>
            <a:schemeClr val="accent5">
              <a:lumMod val="50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40000"/>
              <a:lumOff val="60000"/>
            </a:schemeClr>
          </a:solidFill>
          <a:ln>
            <a:noFill/>
          </a:ln>
          <a:effectLst/>
        </c:spPr>
      </c:pivotFmt>
      <c:pivotFmt>
        <c:idx val="44"/>
        <c:spPr>
          <a:solidFill>
            <a:schemeClr val="accent5">
              <a:lumMod val="20000"/>
              <a:lumOff val="80000"/>
            </a:schemeClr>
          </a:solidFill>
          <a:ln>
            <a:noFill/>
          </a:ln>
          <a:effectLst/>
        </c:spPr>
      </c:pivotFmt>
      <c:pivotFmt>
        <c:idx val="45"/>
        <c:spPr>
          <a:solidFill>
            <a:schemeClr val="accent5">
              <a:lumMod val="60000"/>
              <a:lumOff val="40000"/>
            </a:schemeClr>
          </a:solidFill>
          <a:ln>
            <a:noFill/>
          </a:ln>
          <a:effectLst/>
        </c:spPr>
      </c:pivotFmt>
      <c:pivotFmt>
        <c:idx val="46"/>
        <c:spPr>
          <a:solidFill>
            <a:schemeClr val="accent5">
              <a:lumMod val="40000"/>
              <a:lumOff val="60000"/>
            </a:schemeClr>
          </a:solidFill>
          <a:ln>
            <a:noFill/>
          </a:ln>
          <a:effectLst/>
        </c:spPr>
      </c:pivotFmt>
      <c:pivotFmt>
        <c:idx val="47"/>
        <c:spPr>
          <a:solidFill>
            <a:schemeClr val="accent5">
              <a:lumMod val="40000"/>
              <a:lumOff val="60000"/>
            </a:schemeClr>
          </a:solidFill>
          <a:ln>
            <a:noFill/>
          </a:ln>
          <a:effectLst/>
        </c:spPr>
      </c:pivotFmt>
      <c:pivotFmt>
        <c:idx val="48"/>
        <c:spPr>
          <a:solidFill>
            <a:schemeClr val="accent5">
              <a:lumMod val="20000"/>
              <a:lumOff val="80000"/>
            </a:schemeClr>
          </a:solidFill>
          <a:ln>
            <a:noFill/>
          </a:ln>
          <a:effectLst/>
        </c:spPr>
      </c:pivotFmt>
      <c:pivotFmt>
        <c:idx val="49"/>
        <c:spPr>
          <a:solidFill>
            <a:schemeClr val="accent5">
              <a:lumMod val="20000"/>
              <a:lumOff val="80000"/>
            </a:schemeClr>
          </a:solidFill>
          <a:ln>
            <a:noFill/>
          </a:ln>
          <a:effectLst/>
        </c:spPr>
      </c:pivotFmt>
    </c:pivotFmts>
    <c:plotArea>
      <c:layout/>
      <c:barChart>
        <c:barDir val="bar"/>
        <c:grouping val="clustered"/>
        <c:varyColors val="0"/>
        <c:ser>
          <c:idx val="0"/>
          <c:order val="0"/>
          <c:tx>
            <c:strRef>
              <c:f>'Top Five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6591-46C0-A6F1-50CFE8E90F50}"/>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6591-46C0-A6F1-50CFE8E90F5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591-46C0-A6F1-50CFE8E90F50}"/>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6591-46C0-A6F1-50CFE8E90F50}"/>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6591-46C0-A6F1-50CFE8E90F50}"/>
              </c:ext>
            </c:extLst>
          </c:dPt>
          <c:dPt>
            <c:idx val="5"/>
            <c:invertIfNegative val="0"/>
            <c:bubble3D val="0"/>
            <c:extLst>
              <c:ext xmlns:c16="http://schemas.microsoft.com/office/drawing/2014/chart" uri="{C3380CC4-5D6E-409C-BE32-E72D297353CC}">
                <c16:uniqueId val="{0000000B-6591-46C0-A6F1-50CFE8E90F50}"/>
              </c:ext>
            </c:extLst>
          </c:dPt>
          <c:dPt>
            <c:idx val="6"/>
            <c:invertIfNegative val="0"/>
            <c:bubble3D val="0"/>
            <c:extLst>
              <c:ext xmlns:c16="http://schemas.microsoft.com/office/drawing/2014/chart" uri="{C3380CC4-5D6E-409C-BE32-E72D297353CC}">
                <c16:uniqueId val="{0000000D-6591-46C0-A6F1-50CFE8E90F50}"/>
              </c:ext>
            </c:extLst>
          </c:dPt>
          <c:dPt>
            <c:idx val="7"/>
            <c:invertIfNegative val="0"/>
            <c:bubble3D val="0"/>
            <c:extLst>
              <c:ext xmlns:c16="http://schemas.microsoft.com/office/drawing/2014/chart" uri="{C3380CC4-5D6E-409C-BE32-E72D297353CC}">
                <c16:uniqueId val="{0000000F-6591-46C0-A6F1-50CFE8E90F50}"/>
              </c:ext>
            </c:extLst>
          </c:dPt>
          <c:dPt>
            <c:idx val="8"/>
            <c:invertIfNegative val="0"/>
            <c:bubble3D val="0"/>
            <c:extLst>
              <c:ext xmlns:c16="http://schemas.microsoft.com/office/drawing/2014/chart" uri="{C3380CC4-5D6E-409C-BE32-E72D297353CC}">
                <c16:uniqueId val="{00000011-6591-46C0-A6F1-50CFE8E90F50}"/>
              </c:ext>
            </c:extLst>
          </c:dPt>
          <c:dPt>
            <c:idx val="9"/>
            <c:invertIfNegative val="0"/>
            <c:bubble3D val="0"/>
            <c:extLst>
              <c:ext xmlns:c16="http://schemas.microsoft.com/office/drawing/2014/chart" uri="{C3380CC4-5D6E-409C-BE32-E72D297353CC}">
                <c16:uniqueId val="{00000013-6591-46C0-A6F1-50CFE8E90F50}"/>
              </c:ext>
            </c:extLst>
          </c:dPt>
          <c:dLbls>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'Top Five Customers'!$A$4:$A$9</c:f>
              <c:strCache>
                <c:ptCount val="5"/>
                <c:pt idx="0">
                  <c:v>Company D</c:v>
                </c:pt>
                <c:pt idx="1">
                  <c:v>Company H</c:v>
                </c:pt>
                <c:pt idx="2">
                  <c:v>Company BB</c:v>
                </c:pt>
                <c:pt idx="3">
                  <c:v>Company F</c:v>
                </c:pt>
                <c:pt idx="4">
                  <c:v>Company A</c:v>
                </c:pt>
              </c:strCache>
            </c:strRef>
          </c:cat>
          <c:val>
            <c:numRef>
              <c:f>'Top Five Customers'!$B$4:$B$9</c:f>
              <c:numCache>
                <c:formatCode>_("$"* #,##0.00_);_("$"* \(#,##0.00\);_("$"* "-"??_);_(@_)</c:formatCode>
                <c:ptCount val="5"/>
                <c:pt idx="0">
                  <c:v>67180.5</c:v>
                </c:pt>
                <c:pt idx="1">
                  <c:v>50208.35</c:v>
                </c:pt>
                <c:pt idx="2">
                  <c:v>43713</c:v>
                </c:pt>
                <c:pt idx="3">
                  <c:v>37428</c:v>
                </c:pt>
                <c:pt idx="4">
                  <c:v>36839.990000000005</c:v>
                </c:pt>
              </c:numCache>
            </c:numRef>
          </c:val>
          <c:extLst>
            <c:ext xmlns:c16="http://schemas.microsoft.com/office/drawing/2014/chart" uri="{C3380CC4-5D6E-409C-BE32-E72D297353CC}">
              <c16:uniqueId val="{00000014-6591-46C0-A6F1-50CFE8E90F50}"/>
            </c:ext>
          </c:extLst>
        </c:ser>
        <c:dLbls>
          <c:dLblPos val="outEnd"/>
          <c:showLegendKey val="0"/>
          <c:showVal val="1"/>
          <c:showCatName val="0"/>
          <c:showSerName val="0"/>
          <c:showPercent val="0"/>
          <c:showBubbleSize val="0"/>
        </c:dLbls>
        <c:gapWidth val="20"/>
        <c:axId val="1977391231"/>
        <c:axId val="1977391647"/>
      </c:barChart>
      <c:catAx>
        <c:axId val="1977391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sz="2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977391647"/>
        <c:crosses val="autoZero"/>
        <c:auto val="1"/>
        <c:lblAlgn val="ctr"/>
        <c:lblOffset val="100"/>
        <c:noMultiLvlLbl val="0"/>
      </c:catAx>
      <c:valAx>
        <c:axId val="1977391647"/>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97739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sz="24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[Analystical Step.xlsx]Transaction by Amount!PivotTable1</c:name>
    <c:fmtId val="21"/>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Garamond" panose="02020404030301010803" pitchFamily="18" charset="0"/>
                <a:ea typeface="+mn-ea"/>
                <a:cs typeface="+mn-cs"/>
              </a:defRPr>
            </a:pPr>
            <a:r>
              <a:rPr lang="en-US" sz="2800"/>
              <a:t>Transaction by Amount</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5"/>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8"/>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9"/>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0"/>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1"/>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2"/>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3"/>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4"/>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5"/>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6"/>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7"/>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8"/>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9"/>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1"/>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2"/>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3"/>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4"/>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5"/>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6"/>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7"/>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8"/>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9"/>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0"/>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1"/>
        <c:spPr>
          <a:solidFill>
            <a:schemeClr val="accent5">
              <a:lumMod val="50000"/>
            </a:schemeClr>
          </a:solidFill>
          <a:ln>
            <a:noFill/>
          </a:ln>
          <a:effectLst/>
        </c:spPr>
      </c:pivotFmt>
      <c:pivotFmt>
        <c:idx val="62"/>
        <c:spPr>
          <a:solidFill>
            <a:schemeClr val="accent5">
              <a:lumMod val="75000"/>
            </a:schemeClr>
          </a:solidFill>
          <a:ln>
            <a:noFill/>
          </a:ln>
          <a:effectLst/>
        </c:spPr>
      </c:pivotFmt>
      <c:pivotFmt>
        <c:idx val="63"/>
        <c:spPr>
          <a:solidFill>
            <a:schemeClr val="accent5">
              <a:lumMod val="60000"/>
              <a:lumOff val="40000"/>
            </a:schemeClr>
          </a:solidFill>
          <a:ln>
            <a:noFill/>
          </a:ln>
          <a:effectLst/>
        </c:spPr>
      </c:pivotFmt>
      <c:pivotFmt>
        <c:idx val="64"/>
        <c:spPr>
          <a:solidFill>
            <a:schemeClr val="accent5">
              <a:lumMod val="40000"/>
              <a:lumOff val="60000"/>
            </a:schemeClr>
          </a:solidFill>
          <a:ln>
            <a:noFill/>
          </a:ln>
          <a:effectLst/>
        </c:spPr>
      </c:pivotFmt>
      <c:pivotFmt>
        <c:idx val="65"/>
        <c:spPr>
          <a:solidFill>
            <a:schemeClr val="accent5">
              <a:lumMod val="40000"/>
              <a:lumOff val="60000"/>
            </a:schemeClr>
          </a:solidFill>
          <a:ln>
            <a:noFill/>
          </a:ln>
          <a:effectLst/>
        </c:spPr>
      </c:pivotFmt>
      <c:pivotFmt>
        <c:idx val="66"/>
        <c:spPr>
          <a:solidFill>
            <a:schemeClr val="accent5">
              <a:lumMod val="20000"/>
              <a:lumOff val="80000"/>
            </a:schemeClr>
          </a:solidFill>
          <a:ln>
            <a:noFill/>
          </a:ln>
          <a:effectLst/>
        </c:spPr>
      </c:pivotFmt>
      <c:pivotFmt>
        <c:idx val="67"/>
        <c:spPr>
          <a:solidFill>
            <a:schemeClr val="accent5">
              <a:lumMod val="20000"/>
              <a:lumOff val="80000"/>
            </a:schemeClr>
          </a:solidFill>
          <a:ln>
            <a:noFill/>
          </a:ln>
          <a:effectLst/>
        </c:spPr>
      </c:pivotFmt>
      <c:pivotFmt>
        <c:idx val="68"/>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9"/>
        <c:spPr>
          <a:solidFill>
            <a:schemeClr val="accent5">
              <a:lumMod val="50000"/>
            </a:schemeClr>
          </a:solidFill>
          <a:ln>
            <a:noFill/>
          </a:ln>
          <a:effectLst/>
        </c:spPr>
      </c:pivotFmt>
      <c:pivotFmt>
        <c:idx val="70"/>
        <c:spPr>
          <a:solidFill>
            <a:schemeClr val="accent5">
              <a:lumMod val="75000"/>
            </a:schemeClr>
          </a:solidFill>
          <a:ln>
            <a:noFill/>
          </a:ln>
          <a:effectLst/>
        </c:spPr>
      </c:pivotFmt>
      <c:pivotFmt>
        <c:idx val="71"/>
        <c:spPr>
          <a:solidFill>
            <a:schemeClr val="accent5">
              <a:lumMod val="60000"/>
              <a:lumOff val="40000"/>
            </a:schemeClr>
          </a:solidFill>
          <a:ln>
            <a:noFill/>
          </a:ln>
          <a:effectLst/>
        </c:spPr>
      </c:pivotFmt>
      <c:pivotFmt>
        <c:idx val="72"/>
        <c:spPr>
          <a:solidFill>
            <a:schemeClr val="accent5">
              <a:lumMod val="40000"/>
              <a:lumOff val="60000"/>
            </a:schemeClr>
          </a:solidFill>
          <a:ln>
            <a:noFill/>
          </a:ln>
          <a:effectLst/>
        </c:spPr>
      </c:pivotFmt>
      <c:pivotFmt>
        <c:idx val="73"/>
        <c:spPr>
          <a:solidFill>
            <a:schemeClr val="accent5">
              <a:lumMod val="40000"/>
              <a:lumOff val="60000"/>
            </a:schemeClr>
          </a:solidFill>
          <a:ln>
            <a:noFill/>
          </a:ln>
          <a:effectLst/>
        </c:spPr>
      </c:pivotFmt>
      <c:pivotFmt>
        <c:idx val="74"/>
        <c:spPr>
          <a:solidFill>
            <a:schemeClr val="accent5">
              <a:lumMod val="20000"/>
              <a:lumOff val="80000"/>
            </a:schemeClr>
          </a:solidFill>
          <a:ln>
            <a:noFill/>
          </a:ln>
          <a:effectLst/>
        </c:spPr>
      </c:pivotFmt>
      <c:pivotFmt>
        <c:idx val="75"/>
        <c:spPr>
          <a:solidFill>
            <a:schemeClr val="accent5">
              <a:lumMod val="20000"/>
              <a:lumOff val="80000"/>
            </a:schemeClr>
          </a:solidFill>
          <a:ln>
            <a:noFill/>
          </a:ln>
          <a:effectLst/>
        </c:spPr>
      </c:pivotFmt>
      <c:pivotFmt>
        <c:idx val="76"/>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7"/>
        <c:spPr>
          <a:solidFill>
            <a:schemeClr val="accent5">
              <a:lumMod val="50000"/>
            </a:schemeClr>
          </a:solidFill>
          <a:ln>
            <a:noFill/>
          </a:ln>
          <a:effectLst/>
        </c:spPr>
      </c:pivotFmt>
      <c:pivotFmt>
        <c:idx val="78"/>
        <c:spPr>
          <a:solidFill>
            <a:schemeClr val="accent5">
              <a:lumMod val="75000"/>
            </a:schemeClr>
          </a:solidFill>
          <a:ln>
            <a:noFill/>
          </a:ln>
          <a:effectLst/>
        </c:spPr>
      </c:pivotFmt>
      <c:pivotFmt>
        <c:idx val="79"/>
        <c:spPr>
          <a:solidFill>
            <a:schemeClr val="accent5">
              <a:lumMod val="60000"/>
              <a:lumOff val="40000"/>
            </a:schemeClr>
          </a:solidFill>
          <a:ln>
            <a:noFill/>
          </a:ln>
          <a:effectLst/>
        </c:spPr>
      </c:pivotFmt>
      <c:pivotFmt>
        <c:idx val="80"/>
        <c:spPr>
          <a:solidFill>
            <a:schemeClr val="accent5">
              <a:lumMod val="40000"/>
              <a:lumOff val="60000"/>
            </a:schemeClr>
          </a:solidFill>
          <a:ln>
            <a:noFill/>
          </a:ln>
          <a:effectLst/>
        </c:spPr>
      </c:pivotFmt>
      <c:pivotFmt>
        <c:idx val="81"/>
        <c:spPr>
          <a:solidFill>
            <a:schemeClr val="accent5">
              <a:lumMod val="40000"/>
              <a:lumOff val="60000"/>
            </a:schemeClr>
          </a:solidFill>
          <a:ln>
            <a:noFill/>
          </a:ln>
          <a:effectLst/>
        </c:spPr>
      </c:pivotFmt>
      <c:pivotFmt>
        <c:idx val="82"/>
        <c:spPr>
          <a:solidFill>
            <a:schemeClr val="accent5">
              <a:lumMod val="20000"/>
              <a:lumOff val="80000"/>
            </a:schemeClr>
          </a:solidFill>
          <a:ln>
            <a:noFill/>
          </a:ln>
          <a:effectLst/>
        </c:spPr>
      </c:pivotFmt>
      <c:pivotFmt>
        <c:idx val="83"/>
        <c:spPr>
          <a:solidFill>
            <a:schemeClr val="accent5">
              <a:lumMod val="20000"/>
              <a:lumOff val="80000"/>
            </a:schemeClr>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3756-4EC7-BC96-CACCB4D16CEC}"/>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3756-4EC7-BC96-CACCB4D16CE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3756-4EC7-BC96-CACCB4D16CEC}"/>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3756-4EC7-BC96-CACCB4D16CEC}"/>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3756-4EC7-BC96-CACCB4D16CEC}"/>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3756-4EC7-BC96-CACCB4D16CEC}"/>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D-3756-4EC7-BC96-CACCB4D16CEC}"/>
              </c:ext>
            </c:extLst>
          </c:dPt>
          <c:dPt>
            <c:idx val="7"/>
            <c:invertIfNegative val="0"/>
            <c:bubble3D val="0"/>
            <c:extLst>
              <c:ext xmlns:c16="http://schemas.microsoft.com/office/drawing/2014/chart" uri="{C3380CC4-5D6E-409C-BE32-E72D297353CC}">
                <c16:uniqueId val="{0000000E-3756-4EC7-BC96-CACCB4D16CEC}"/>
              </c:ext>
            </c:extLst>
          </c:dPt>
          <c:dPt>
            <c:idx val="8"/>
            <c:invertIfNegative val="0"/>
            <c:bubble3D val="0"/>
            <c:extLst>
              <c:ext xmlns:c16="http://schemas.microsoft.com/office/drawing/2014/chart" uri="{C3380CC4-5D6E-409C-BE32-E72D297353CC}">
                <c16:uniqueId val="{0000000F-3756-4EC7-BC96-CACCB4D16CEC}"/>
              </c:ext>
            </c:extLst>
          </c:dPt>
          <c:dPt>
            <c:idx val="9"/>
            <c:invertIfNegative val="0"/>
            <c:bubble3D val="0"/>
            <c:extLst>
              <c:ext xmlns:c16="http://schemas.microsoft.com/office/drawing/2014/chart" uri="{C3380CC4-5D6E-409C-BE32-E72D297353CC}">
                <c16:uniqueId val="{00000010-3756-4EC7-BC96-CACCB4D16CEC}"/>
              </c:ext>
            </c:extLst>
          </c:dPt>
          <c:dLbls>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11-3756-4EC7-BC96-CACCB4D16CEC}"/>
            </c:ext>
          </c:extLst>
        </c:ser>
        <c:dLbls>
          <c:showLegendKey val="0"/>
          <c:showVal val="1"/>
          <c:showCatName val="0"/>
          <c:showSerName val="0"/>
          <c:showPercent val="0"/>
          <c:showBubbleSize val="0"/>
        </c:dLbls>
        <c:gapWidth val="20"/>
        <c:axId val="1977391231"/>
        <c:axId val="1977391647"/>
      </c:barChart>
      <c:catAx>
        <c:axId val="197739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sz="2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977391647"/>
        <c:crosses val="autoZero"/>
        <c:auto val="1"/>
        <c:lblAlgn val="ctr"/>
        <c:lblOffset val="100"/>
        <c:noMultiLvlLbl val="0"/>
      </c:catAx>
      <c:valAx>
        <c:axId val="19773916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7739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sz="24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[Analystical Step.xlsx]Top 6 Ship Cities by Revenue!PivotTable1</c:name>
    <c:fmtId val="20"/>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Garamond" panose="02020404030301010803" pitchFamily="18" charset="0"/>
                <a:ea typeface="+mn-ea"/>
                <a:cs typeface="+mn-cs"/>
              </a:defRPr>
            </a:pPr>
            <a:r>
              <a:rPr lang="en-US" sz="2800"/>
              <a:t>Top 6 Ship Cities by Revenue</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c:spPr>
      </c:pivotFmt>
      <c:pivotFmt>
        <c:idx val="8"/>
        <c:spPr>
          <a:solidFill>
            <a:schemeClr val="accent5">
              <a:lumMod val="75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solidFill>
          <a:ln>
            <a:noFill/>
          </a:ln>
          <a:effectLst/>
        </c:spPr>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75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40000"/>
              <a:lumOff val="60000"/>
            </a:schemeClr>
          </a:solidFill>
          <a:ln>
            <a:noFill/>
          </a:ln>
          <a:effectLst/>
        </c:spPr>
      </c:pivotFmt>
      <c:pivotFmt>
        <c:idx val="24"/>
        <c:spPr>
          <a:solidFill>
            <a:schemeClr val="accent5">
              <a:lumMod val="20000"/>
              <a:lumOff val="80000"/>
            </a:schemeClr>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lumMod val="50000"/>
            </a:schemeClr>
          </a:solidFill>
          <a:ln>
            <a:noFill/>
          </a:ln>
          <a:effectLst/>
        </c:spPr>
      </c:pivotFmt>
      <c:pivotFmt>
        <c:idx val="27"/>
        <c:spPr>
          <a:solidFill>
            <a:schemeClr val="accent5">
              <a:lumMod val="75000"/>
            </a:schemeClr>
          </a:solidFill>
          <a:ln>
            <a:noFill/>
          </a:ln>
          <a:effectLst/>
        </c:spPr>
      </c:pivotFmt>
      <c:pivotFmt>
        <c:idx val="28"/>
        <c:spPr>
          <a:solidFill>
            <a:schemeClr val="accent5">
              <a:lumMod val="75000"/>
            </a:schemeClr>
          </a:solidFill>
          <a:ln>
            <a:noFill/>
          </a:ln>
          <a:effectLst/>
        </c:spPr>
      </c:pivotFmt>
      <c:pivotFmt>
        <c:idx val="29"/>
        <c:spPr>
          <a:solidFill>
            <a:schemeClr val="accent5">
              <a:lumMod val="60000"/>
              <a:lumOff val="40000"/>
            </a:schemeClr>
          </a:solidFill>
          <a:ln>
            <a:noFill/>
          </a:ln>
          <a:effectLst/>
        </c:spPr>
      </c:pivotFmt>
      <c:pivotFmt>
        <c:idx val="30"/>
        <c:spPr>
          <a:solidFill>
            <a:schemeClr val="accent5">
              <a:lumMod val="40000"/>
              <a:lumOff val="60000"/>
            </a:schemeClr>
          </a:solidFill>
          <a:ln>
            <a:noFill/>
          </a:ln>
          <a:effectLst/>
        </c:spPr>
      </c:pivotFmt>
      <c:pivotFmt>
        <c:idx val="31"/>
        <c:spPr>
          <a:solidFill>
            <a:schemeClr val="accent5">
              <a:lumMod val="20000"/>
              <a:lumOff val="80000"/>
            </a:schemeClr>
          </a:solidFill>
          <a:ln>
            <a:noFill/>
          </a:ln>
          <a:effectLst/>
        </c:spPr>
      </c:pivotFmt>
    </c:pivotFmts>
    <c:plotArea>
      <c:layout>
        <c:manualLayout>
          <c:layoutTarget val="inner"/>
          <c:xMode val="edge"/>
          <c:yMode val="edge"/>
          <c:x val="0.23281376384555705"/>
          <c:y val="0.21415502328675981"/>
          <c:w val="0.73661321029839821"/>
          <c:h val="0.74010312707917503"/>
        </c:manualLayout>
      </c:layout>
      <c:barChart>
        <c:barDir val="bar"/>
        <c:grouping val="clustered"/>
        <c:varyColors val="0"/>
        <c:ser>
          <c:idx val="0"/>
          <c:order val="0"/>
          <c:tx>
            <c:strRef>
              <c:f>'Top 6 Ship Cities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67AB-46D4-B1A7-01193084CB28}"/>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67AB-46D4-B1A7-01193084CB28}"/>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67AB-46D4-B1A7-01193084CB28}"/>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67AB-46D4-B1A7-01193084CB28}"/>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67AB-46D4-B1A7-01193084CB28}"/>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67AB-46D4-B1A7-01193084CB28}"/>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_("$"* #,##0.00_);_("$"* \(#,##0.00\);_("$"* "-"??_);_(@_)</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C-67AB-46D4-B1A7-01193084CB28}"/>
            </c:ext>
          </c:extLst>
        </c:ser>
        <c:dLbls>
          <c:dLblPos val="outEnd"/>
          <c:showLegendKey val="0"/>
          <c:showVal val="1"/>
          <c:showCatName val="0"/>
          <c:showSerName val="0"/>
          <c:showPercent val="0"/>
          <c:showBubbleSize val="0"/>
        </c:dLbls>
        <c:gapWidth val="40"/>
        <c:axId val="2046447599"/>
        <c:axId val="2046436783"/>
      </c:barChart>
      <c:catAx>
        <c:axId val="20464475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046436783"/>
        <c:crosses val="autoZero"/>
        <c:auto val="1"/>
        <c:lblAlgn val="ctr"/>
        <c:lblOffset val="100"/>
        <c:noMultiLvlLbl val="0"/>
      </c:catAx>
      <c:valAx>
        <c:axId val="2046436783"/>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204644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sz="24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[Analystical Step.xlsx]Sales by Product Category!PivotTable1</c:name>
    <c:fmtId val="36"/>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Garamond" panose="02020404030301010803" pitchFamily="18" charset="0"/>
                <a:ea typeface="+mn-ea"/>
                <a:cs typeface="+mn-cs"/>
              </a:defRPr>
            </a:pPr>
            <a:r>
              <a:rPr lang="en-US" sz="2800"/>
              <a:t>Product</a:t>
            </a:r>
            <a:r>
              <a:rPr lang="en-US" sz="2800" baseline="0"/>
              <a:t> </a:t>
            </a:r>
            <a:r>
              <a:rPr lang="en-US" sz="2800"/>
              <a:t>Performance over Time </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5">
              <a:lumMod val="50000"/>
            </a:schemeClr>
          </a:solidFill>
          <a:ln>
            <a:noFill/>
          </a:ln>
          <a:effectLst/>
        </c:spPr>
        <c:dLbl>
          <c:idx val="0"/>
          <c:layout>
            <c:manualLayout>
              <c:x val="0.38832260492578091"/>
              <c:y val="-3.413734557197868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lumMod val="75000"/>
            </a:schemeClr>
          </a:solidFill>
          <a:ln>
            <a:noFill/>
          </a:ln>
          <a:effectLst/>
        </c:spPr>
        <c:dLbl>
          <c:idx val="0"/>
          <c:layout>
            <c:manualLayout>
              <c:x val="0.3699119254452658"/>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5">
              <a:lumMod val="75000"/>
            </a:schemeClr>
          </a:solidFill>
          <a:ln>
            <a:noFill/>
          </a:ln>
          <a:effectLst/>
        </c:spPr>
        <c:dLbl>
          <c:idx val="0"/>
          <c:layout>
            <c:manualLayout>
              <c:x val="0.26116838487972516"/>
              <c:y val="4.6296296296296719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5">
              <a:lumMod val="60000"/>
              <a:lumOff val="40000"/>
            </a:schemeClr>
          </a:solidFill>
          <a:ln>
            <a:noFill/>
          </a:ln>
          <a:effectLst/>
        </c:spPr>
        <c:dLbl>
          <c:idx val="0"/>
          <c:layout>
            <c:manualLayout>
              <c:x val="0.18327605956471935"/>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5">
              <a:lumMod val="60000"/>
              <a:lumOff val="40000"/>
            </a:schemeClr>
          </a:solidFill>
          <a:ln>
            <a:noFill/>
          </a:ln>
          <a:effectLst/>
        </c:spPr>
        <c:dLbl>
          <c:idx val="0"/>
          <c:layout>
            <c:manualLayout>
              <c:x val="0.1855670103092782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5">
              <a:lumMod val="40000"/>
              <a:lumOff val="60000"/>
            </a:schemeClr>
          </a:solidFill>
          <a:ln>
            <a:noFill/>
          </a:ln>
          <a:effectLst/>
        </c:spPr>
        <c:dLbl>
          <c:idx val="0"/>
          <c:layout>
            <c:manualLayout>
              <c:x val="0.17182130584192448"/>
              <c:y val="4.6296296296296294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5">
              <a:lumMod val="40000"/>
              <a:lumOff val="60000"/>
            </a:schemeClr>
          </a:solidFill>
          <a:ln>
            <a:noFill/>
          </a:ln>
          <a:effectLst/>
        </c:spPr>
        <c:dLbl>
          <c:idx val="0"/>
          <c:layout>
            <c:manualLayout>
              <c:x val="0.1603665521191295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5">
              <a:lumMod val="20000"/>
              <a:lumOff val="80000"/>
            </a:schemeClr>
          </a:solidFill>
          <a:ln>
            <a:noFill/>
          </a:ln>
          <a:effectLst/>
        </c:spPr>
        <c:dLbl>
          <c:idx val="0"/>
          <c:layout>
            <c:manualLayout>
              <c:x val="0.10996563573883161"/>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chemeClr val="accent5">
              <a:lumMod val="50000"/>
            </a:schemeClr>
          </a:solidFill>
          <a:ln>
            <a:noFill/>
          </a:ln>
          <a:effectLst/>
        </c:spPr>
        <c:dLbl>
          <c:idx val="0"/>
          <c:layout>
            <c:manualLayout>
              <c:x val="0.39230291744258222"/>
              <c:y val="3.1670234318562653E-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solidFill>
            <a:schemeClr val="accent5">
              <a:lumMod val="50000"/>
            </a:schemeClr>
          </a:solidFill>
          <a:ln>
            <a:noFill/>
          </a:ln>
          <a:effectLst/>
        </c:spPr>
        <c:dLbl>
          <c:idx val="0"/>
          <c:layout>
            <c:manualLayout>
              <c:x val="0.3054003724394786"/>
              <c:y val="3.6869005205299068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solidFill>
            <a:schemeClr val="accent5">
              <a:lumMod val="75000"/>
            </a:schemeClr>
          </a:solidFill>
          <a:ln>
            <a:noFill/>
          </a:ln>
          <a:effectLst/>
        </c:spPr>
        <c:dLbl>
          <c:idx val="0"/>
          <c:layout>
            <c:manualLayout>
              <c:x val="0.29298572315332094"/>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solidFill>
            <a:schemeClr val="accent5">
              <a:lumMod val="75000"/>
            </a:schemeClr>
          </a:solidFill>
          <a:ln>
            <a:noFill/>
          </a:ln>
          <a:effectLst/>
        </c:spPr>
        <c:dLbl>
          <c:idx val="0"/>
          <c:layout>
            <c:manualLayout>
              <c:x val="0.28305400372439476"/>
              <c:y val="4.0221197584575305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solidFill>
            <a:schemeClr val="accent5">
              <a:lumMod val="60000"/>
              <a:lumOff val="40000"/>
            </a:schemeClr>
          </a:solidFill>
          <a:ln>
            <a:noFill/>
          </a:ln>
          <a:effectLst/>
        </c:spPr>
        <c:dLbl>
          <c:idx val="0"/>
          <c:layout>
            <c:manualLayout>
              <c:x val="0.26567349472377394"/>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solidFill>
            <a:schemeClr val="accent5">
              <a:lumMod val="60000"/>
              <a:lumOff val="40000"/>
            </a:schemeClr>
          </a:solidFill>
          <a:ln>
            <a:noFill/>
          </a:ln>
          <a:effectLst/>
        </c:spPr>
        <c:dLbl>
          <c:idx val="0"/>
          <c:layout>
            <c:manualLayout>
              <c:x val="0.24581005586592178"/>
              <c:y val="7.3738010410598137E-17"/>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5"/>
        <c:spPr>
          <a:solidFill>
            <a:schemeClr val="accent5">
              <a:lumMod val="40000"/>
              <a:lumOff val="60000"/>
            </a:schemeClr>
          </a:solidFill>
          <a:ln>
            <a:noFill/>
          </a:ln>
          <a:effectLst/>
        </c:spPr>
        <c:dLbl>
          <c:idx val="0"/>
          <c:layout>
            <c:manualLayout>
              <c:x val="0.22098075729360636"/>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solidFill>
            <a:schemeClr val="accent5">
              <a:lumMod val="40000"/>
              <a:lumOff val="60000"/>
            </a:schemeClr>
          </a:solidFill>
          <a:ln>
            <a:noFill/>
          </a:ln>
          <a:effectLst/>
        </c:spPr>
        <c:dLbl>
          <c:idx val="0"/>
          <c:layout>
            <c:manualLayout>
              <c:x val="0.22346368715083798"/>
              <c:y val="8.0445562192580991E-3"/>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solidFill>
            <a:schemeClr val="accent5">
              <a:lumMod val="20000"/>
              <a:lumOff val="80000"/>
            </a:schemeClr>
          </a:solidFill>
          <a:ln>
            <a:noFill/>
          </a:ln>
          <a:effectLst/>
        </c:spPr>
        <c:dLbl>
          <c:idx val="0"/>
          <c:layout>
            <c:manualLayout>
              <c:x val="0.21104903786468032"/>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8"/>
        <c:spPr>
          <a:solidFill>
            <a:schemeClr val="accent5">
              <a:lumMod val="20000"/>
              <a:lumOff val="80000"/>
            </a:schemeClr>
          </a:solidFill>
          <a:ln>
            <a:noFill/>
          </a:ln>
          <a:effectLst/>
        </c:spPr>
        <c:dLbl>
          <c:idx val="0"/>
          <c:layout>
            <c:manualLayout>
              <c:x val="0.18125387957790187"/>
              <c:y val="0"/>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9"/>
        <c:spPr>
          <a:solidFill>
            <a:schemeClr val="accent1"/>
          </a:solidFill>
          <a:ln w="28575" cap="rnd">
            <a:solidFill>
              <a:schemeClr val="accent5">
                <a:lumMod val="50000"/>
              </a:schemeClr>
            </a:solidFill>
            <a:round/>
          </a:ln>
          <a:effectLst/>
        </c:spPr>
        <c:marker>
          <c:symbol val="none"/>
        </c:marker>
        <c:dLbl>
          <c:idx val="0"/>
          <c:layout>
            <c:manualLayout>
              <c:x val="-6.2408968376483333E-2"/>
              <c:y val="-4.977357365973943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0"/>
        <c:spPr>
          <a:solidFill>
            <a:schemeClr val="accent1"/>
          </a:solidFill>
          <a:ln w="28575" cap="rnd">
            <a:solidFill>
              <a:schemeClr val="accent5">
                <a:lumMod val="50000"/>
              </a:schemeClr>
            </a:solidFill>
            <a:round/>
          </a:ln>
          <a:effectLst/>
        </c:spPr>
        <c:marker>
          <c:symbol val="none"/>
        </c:marker>
      </c:pivotFmt>
      <c:pivotFmt>
        <c:idx val="41"/>
        <c:spPr>
          <a:solidFill>
            <a:schemeClr val="accent1"/>
          </a:solidFill>
          <a:ln w="28575" cap="rnd">
            <a:solidFill>
              <a:schemeClr val="accent5">
                <a:lumMod val="50000"/>
              </a:schemeClr>
            </a:solidFill>
            <a:round/>
          </a:ln>
          <a:effectLst/>
        </c:spPr>
        <c:marker>
          <c:symbol val="none"/>
        </c:marker>
      </c:pivotFmt>
      <c:pivotFmt>
        <c:idx val="42"/>
        <c:spPr>
          <a:solidFill>
            <a:schemeClr val="accent1"/>
          </a:solidFill>
          <a:ln w="28575" cap="rnd">
            <a:solidFill>
              <a:schemeClr val="accent5">
                <a:lumMod val="50000"/>
              </a:schemeClr>
            </a:solidFill>
            <a:round/>
          </a:ln>
          <a:effectLst/>
        </c:spPr>
        <c:marker>
          <c:symbol val="none"/>
        </c:marker>
        <c:dLbl>
          <c:idx val="0"/>
          <c:layout>
            <c:manualLayout>
              <c:x val="-3.2826290448655163E-2"/>
              <c:y val="6.686789933552674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3"/>
        <c:spPr>
          <a:solidFill>
            <a:schemeClr val="accent1"/>
          </a:solidFill>
          <a:ln w="28575" cap="rnd">
            <a:solidFill>
              <a:schemeClr val="accent5">
                <a:lumMod val="50000"/>
              </a:schemeClr>
            </a:solidFill>
            <a:round/>
          </a:ln>
          <a:effectLst/>
        </c:spPr>
        <c:marker>
          <c:symbol val="none"/>
        </c:marker>
      </c:pivotFmt>
      <c:pivotFmt>
        <c:idx val="44"/>
        <c:spPr>
          <a:solidFill>
            <a:schemeClr val="accent1"/>
          </a:solidFill>
          <a:ln w="28575" cap="rnd">
            <a:solidFill>
              <a:schemeClr val="accent5">
                <a:lumMod val="50000"/>
              </a:schemeClr>
            </a:solidFill>
            <a:round/>
          </a:ln>
          <a:effectLst/>
        </c:spPr>
        <c:marker>
          <c:symbol val="none"/>
        </c:marker>
      </c:pivotFmt>
      <c:pivotFmt>
        <c:idx val="45"/>
        <c:spPr>
          <a:solidFill>
            <a:schemeClr val="accent1"/>
          </a:solidFill>
          <a:ln w="28575" cap="rnd">
            <a:solidFill>
              <a:schemeClr val="accent5">
                <a:lumMod val="50000"/>
              </a:schemeClr>
            </a:solidFill>
            <a:round/>
          </a:ln>
          <a:effectLst/>
        </c:spPr>
        <c:marker>
          <c:symbol val="none"/>
        </c:marker>
      </c:pivotFmt>
      <c:pivotFmt>
        <c:idx val="46"/>
        <c:spPr>
          <a:solidFill>
            <a:schemeClr val="accent1"/>
          </a:solidFill>
          <a:ln w="28575" cap="rnd">
            <a:solidFill>
              <a:schemeClr val="accent5">
                <a:lumMod val="50000"/>
              </a:schemeClr>
            </a:solidFill>
            <a:round/>
          </a:ln>
          <a:effectLst/>
        </c:spPr>
        <c:marker>
          <c:symbol val="none"/>
        </c:marker>
      </c:pivotFmt>
      <c:pivotFmt>
        <c:idx val="47"/>
        <c:spPr>
          <a:solidFill>
            <a:schemeClr val="accent1"/>
          </a:solidFill>
          <a:ln w="28575" cap="rnd">
            <a:solidFill>
              <a:schemeClr val="accent5">
                <a:lumMod val="50000"/>
              </a:schemeClr>
            </a:solidFill>
            <a:round/>
          </a:ln>
          <a:effectLst/>
        </c:spPr>
        <c:marker>
          <c:symbol val="none"/>
        </c:marker>
      </c:pivotFmt>
      <c:pivotFmt>
        <c:idx val="48"/>
        <c:spPr>
          <a:solidFill>
            <a:schemeClr val="accent1"/>
          </a:solidFill>
          <a:ln w="28575" cap="rnd">
            <a:solidFill>
              <a:schemeClr val="accent5">
                <a:lumMod val="50000"/>
              </a:schemeClr>
            </a:solidFill>
            <a:round/>
          </a:ln>
          <a:effectLst/>
        </c:spPr>
        <c:marker>
          <c:symbol val="none"/>
        </c:marker>
      </c:pivotFmt>
      <c:pivotFmt>
        <c:idx val="49"/>
        <c:spPr>
          <a:solidFill>
            <a:schemeClr val="accent1"/>
          </a:solidFill>
          <a:ln w="28575" cap="rnd">
            <a:solidFill>
              <a:schemeClr val="accent5">
                <a:lumMod val="50000"/>
              </a:schemeClr>
            </a:solidFill>
            <a:round/>
          </a:ln>
          <a:effectLst/>
        </c:spPr>
        <c:marker>
          <c:symbol val="none"/>
        </c:marker>
      </c:pivotFmt>
      <c:pivotFmt>
        <c:idx val="50"/>
        <c:spPr>
          <a:solidFill>
            <a:schemeClr val="accent1"/>
          </a:solidFill>
          <a:ln w="28575" cap="rnd">
            <a:solidFill>
              <a:schemeClr val="accent5">
                <a:lumMod val="50000"/>
              </a:schemeClr>
            </a:solidFill>
            <a:round/>
          </a:ln>
          <a:effectLst/>
        </c:spPr>
        <c:marker>
          <c:symbol val="none"/>
        </c:marker>
        <c:dLbl>
          <c:idx val="0"/>
          <c:layout>
            <c:manualLayout>
              <c:x val="-6.4522016799899634E-2"/>
              <c:y val="-3.368509462590960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1"/>
        <c:spPr>
          <a:solidFill>
            <a:schemeClr val="accent1"/>
          </a:solidFill>
          <a:ln>
            <a:solidFill>
              <a:schemeClr val="bg1"/>
            </a:solid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2"/>
        <c:spPr>
          <a:solidFill>
            <a:schemeClr val="accent1"/>
          </a:solidFill>
          <a:ln w="28575" cap="rnd">
            <a:solidFill>
              <a:schemeClr val="accent5">
                <a:lumMod val="50000"/>
              </a:schemeClr>
            </a:solidFill>
            <a:round/>
          </a:ln>
          <a:effectLst/>
        </c:spPr>
        <c:marker>
          <c:symbol val="none"/>
        </c:marker>
        <c:dLbl>
          <c:idx val="0"/>
          <c:layout>
            <c:manualLayout>
              <c:x val="-6.2408968376483333E-2"/>
              <c:y val="-4.977357365973943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3"/>
        <c:spPr>
          <a:solidFill>
            <a:schemeClr val="accent1"/>
          </a:solidFill>
          <a:ln w="28575" cap="rnd">
            <a:solidFill>
              <a:schemeClr val="accent5">
                <a:lumMod val="50000"/>
              </a:schemeClr>
            </a:solidFill>
            <a:round/>
          </a:ln>
          <a:effectLst/>
        </c:spPr>
        <c:marker>
          <c:symbol val="none"/>
        </c:marker>
      </c:pivotFmt>
      <c:pivotFmt>
        <c:idx val="54"/>
        <c:spPr>
          <a:solidFill>
            <a:schemeClr val="accent1"/>
          </a:solidFill>
          <a:ln w="28575" cap="rnd">
            <a:solidFill>
              <a:schemeClr val="accent5">
                <a:lumMod val="50000"/>
              </a:schemeClr>
            </a:solidFill>
            <a:round/>
          </a:ln>
          <a:effectLst/>
        </c:spPr>
        <c:marker>
          <c:symbol val="none"/>
        </c:marker>
      </c:pivotFmt>
      <c:pivotFmt>
        <c:idx val="55"/>
        <c:spPr>
          <a:solidFill>
            <a:schemeClr val="accent1"/>
          </a:solidFill>
          <a:ln w="28575" cap="rnd">
            <a:solidFill>
              <a:schemeClr val="accent5">
                <a:lumMod val="50000"/>
              </a:schemeClr>
            </a:solidFill>
            <a:round/>
          </a:ln>
          <a:effectLst/>
        </c:spPr>
        <c:marker>
          <c:symbol val="none"/>
        </c:marker>
      </c:pivotFmt>
      <c:pivotFmt>
        <c:idx val="56"/>
        <c:spPr>
          <a:solidFill>
            <a:schemeClr val="accent1"/>
          </a:solidFill>
          <a:ln w="28575" cap="rnd">
            <a:solidFill>
              <a:schemeClr val="accent5">
                <a:lumMod val="50000"/>
              </a:schemeClr>
            </a:solidFill>
            <a:round/>
          </a:ln>
          <a:effectLst/>
        </c:spPr>
        <c:marker>
          <c:symbol val="none"/>
        </c:marker>
      </c:pivotFmt>
      <c:pivotFmt>
        <c:idx val="57"/>
        <c:spPr>
          <a:solidFill>
            <a:schemeClr val="accent1"/>
          </a:solidFill>
          <a:ln w="28575" cap="rnd">
            <a:solidFill>
              <a:schemeClr val="accent5">
                <a:lumMod val="50000"/>
              </a:schemeClr>
            </a:solidFill>
            <a:round/>
          </a:ln>
          <a:effectLst/>
        </c:spPr>
        <c:marker>
          <c:symbol val="none"/>
        </c:marker>
        <c:dLbl>
          <c:idx val="0"/>
          <c:layout>
            <c:manualLayout>
              <c:x val="-3.2826290448655163E-2"/>
              <c:y val="6.686789933552674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8"/>
        <c:spPr>
          <a:solidFill>
            <a:schemeClr val="accent1"/>
          </a:solidFill>
          <a:ln w="28575" cap="rnd">
            <a:solidFill>
              <a:schemeClr val="accent5">
                <a:lumMod val="50000"/>
              </a:schemeClr>
            </a:solidFill>
            <a:round/>
          </a:ln>
          <a:effectLst/>
        </c:spPr>
        <c:marker>
          <c:symbol val="none"/>
        </c:marker>
      </c:pivotFmt>
      <c:pivotFmt>
        <c:idx val="59"/>
        <c:spPr>
          <a:solidFill>
            <a:schemeClr val="accent1"/>
          </a:solidFill>
          <a:ln w="28575" cap="rnd">
            <a:solidFill>
              <a:schemeClr val="accent5">
                <a:lumMod val="50000"/>
              </a:schemeClr>
            </a:solidFill>
            <a:round/>
          </a:ln>
          <a:effectLst/>
        </c:spPr>
        <c:marker>
          <c:symbol val="none"/>
        </c:marker>
      </c:pivotFmt>
      <c:pivotFmt>
        <c:idx val="60"/>
        <c:spPr>
          <a:solidFill>
            <a:schemeClr val="accent1"/>
          </a:solidFill>
          <a:ln w="28575" cap="rnd">
            <a:solidFill>
              <a:schemeClr val="accent5">
                <a:lumMod val="50000"/>
              </a:schemeClr>
            </a:solidFill>
            <a:round/>
          </a:ln>
          <a:effectLst/>
        </c:spPr>
        <c:marker>
          <c:symbol val="none"/>
        </c:marker>
      </c:pivotFmt>
      <c:pivotFmt>
        <c:idx val="61"/>
        <c:spPr>
          <a:solidFill>
            <a:schemeClr val="accent1"/>
          </a:solidFill>
          <a:ln w="28575" cap="rnd">
            <a:solidFill>
              <a:schemeClr val="accent5">
                <a:lumMod val="50000"/>
              </a:schemeClr>
            </a:solidFill>
            <a:round/>
          </a:ln>
          <a:effectLst/>
        </c:spPr>
        <c:marker>
          <c:symbol val="none"/>
        </c:marker>
      </c:pivotFmt>
      <c:pivotFmt>
        <c:idx val="62"/>
        <c:spPr>
          <a:solidFill>
            <a:schemeClr val="accent1"/>
          </a:solidFill>
          <a:ln w="28575" cap="rnd">
            <a:solidFill>
              <a:schemeClr val="accent5">
                <a:lumMod val="50000"/>
              </a:schemeClr>
            </a:solidFill>
            <a:round/>
          </a:ln>
          <a:effectLst/>
        </c:spPr>
        <c:marker>
          <c:symbol val="none"/>
        </c:marker>
        <c:dLbl>
          <c:idx val="0"/>
          <c:layout>
            <c:manualLayout>
              <c:x val="-6.4522016799899634E-2"/>
              <c:y val="-3.3685094625909608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3"/>
        <c:spPr>
          <a:solidFill>
            <a:schemeClr val="accent1"/>
          </a:solidFill>
          <a:ln w="28575" cap="rnd">
            <a:solidFill>
              <a:schemeClr val="accent5">
                <a:lumMod val="50000"/>
              </a:schemeClr>
            </a:solidFill>
            <a:round/>
          </a:ln>
          <a:effectLst/>
        </c:spPr>
        <c:marker>
          <c:symbol val="none"/>
        </c:marker>
      </c:pivotFmt>
      <c:pivotFmt>
        <c:idx val="64"/>
        <c:spPr>
          <a:solidFill>
            <a:schemeClr val="accent5">
              <a:lumMod val="50000"/>
            </a:schemeClr>
          </a:solidFill>
          <a:ln>
            <a:solidFill>
              <a:schemeClr val="bg1"/>
            </a:solidFill>
          </a:ln>
          <a:effectLst/>
        </c:spPr>
        <c:dLbl>
          <c:idx val="0"/>
          <c:layout>
            <c:manualLayout>
              <c:x val="0"/>
              <c:y val="-6.8376035893776763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5"/>
        <c:spPr>
          <a:solidFill>
            <a:schemeClr val="accent5">
              <a:lumMod val="75000"/>
            </a:schemeClr>
          </a:solidFill>
          <a:ln>
            <a:solidFill>
              <a:schemeClr val="bg1"/>
            </a:solidFill>
          </a:ln>
          <a:effectLst/>
        </c:spPr>
      </c:pivotFmt>
      <c:pivotFmt>
        <c:idx val="66"/>
        <c:spPr>
          <a:solidFill>
            <a:schemeClr val="accent5">
              <a:lumMod val="60000"/>
              <a:lumOff val="40000"/>
            </a:schemeClr>
          </a:solidFill>
          <a:ln>
            <a:solidFill>
              <a:schemeClr val="bg1"/>
            </a:solidFill>
          </a:ln>
          <a:effectLst/>
        </c:spPr>
      </c:pivotFmt>
      <c:pivotFmt>
        <c:idx val="67"/>
        <c:spPr>
          <a:solidFill>
            <a:schemeClr val="accent5">
              <a:lumMod val="40000"/>
              <a:lumOff val="60000"/>
            </a:schemeClr>
          </a:solidFill>
          <a:ln>
            <a:solidFill>
              <a:schemeClr val="bg1"/>
            </a:solidFill>
          </a:ln>
          <a:effectLst/>
        </c:spPr>
      </c:pivotFmt>
      <c:pivotFmt>
        <c:idx val="68"/>
        <c:spPr>
          <a:solidFill>
            <a:schemeClr val="accent5">
              <a:lumMod val="20000"/>
              <a:lumOff val="80000"/>
            </a:schemeClr>
          </a:solidFill>
          <a:ln>
            <a:solidFill>
              <a:schemeClr val="bg1"/>
            </a:solidFill>
          </a:ln>
          <a:effectLst/>
        </c:spPr>
      </c:pivotFmt>
      <c:pivotFmt>
        <c:idx val="69"/>
        <c:spPr>
          <a:solidFill>
            <a:schemeClr val="accent1"/>
          </a:solidFill>
          <a:ln>
            <a:solidFill>
              <a:schemeClr val="bg1"/>
            </a:solidFill>
          </a:ln>
          <a:effectLst/>
        </c:spPr>
        <c:marker>
          <c:symbol val="none"/>
        </c:marker>
        <c:dLbl>
          <c:idx val="0"/>
          <c:spPr>
            <a:noFill/>
            <a:ln>
              <a:noFill/>
            </a:ln>
            <a:effectLst/>
          </c:spPr>
          <c:txPr>
            <a:bodyPr rot="0" spcFirstLastPara="1" vertOverflow="overflow" horzOverflow="overflow" vert="horz" wrap="square" lIns="36576"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0"/>
        <c:spPr>
          <a:solidFill>
            <a:schemeClr val="accent5">
              <a:lumMod val="50000"/>
            </a:schemeClr>
          </a:solidFill>
          <a:ln>
            <a:solidFill>
              <a:schemeClr val="bg1"/>
            </a:solidFill>
          </a:ln>
          <a:effectLst/>
        </c:spPr>
        <c:dLbl>
          <c:idx val="0"/>
          <c:layout>
            <c:manualLayout>
              <c:x val="0"/>
              <c:y val="-6.8376035893776763E-2"/>
            </c:manualLayout>
          </c:layout>
          <c:spPr>
            <a:noFill/>
            <a:ln>
              <a:noFill/>
            </a:ln>
            <a:effectLst/>
          </c:spPr>
          <c:txPr>
            <a:bodyPr rot="0" spcFirstLastPara="1" vertOverflow="overflow" horzOverflow="overflow" vert="horz" wrap="square" lIns="36576"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1"/>
        <c:spPr>
          <a:solidFill>
            <a:schemeClr val="accent5">
              <a:lumMod val="75000"/>
            </a:schemeClr>
          </a:solidFill>
          <a:ln>
            <a:solidFill>
              <a:schemeClr val="bg1"/>
            </a:solidFill>
          </a:ln>
          <a:effectLst/>
        </c:spPr>
      </c:pivotFmt>
      <c:pivotFmt>
        <c:idx val="72"/>
        <c:spPr>
          <a:solidFill>
            <a:schemeClr val="accent5">
              <a:lumMod val="60000"/>
              <a:lumOff val="40000"/>
            </a:schemeClr>
          </a:solidFill>
          <a:ln>
            <a:solidFill>
              <a:schemeClr val="bg1"/>
            </a:solidFill>
          </a:ln>
          <a:effectLst/>
        </c:spPr>
      </c:pivotFmt>
      <c:pivotFmt>
        <c:idx val="73"/>
        <c:spPr>
          <a:solidFill>
            <a:schemeClr val="accent5">
              <a:lumMod val="40000"/>
              <a:lumOff val="60000"/>
            </a:schemeClr>
          </a:solidFill>
          <a:ln>
            <a:solidFill>
              <a:schemeClr val="bg1"/>
            </a:solidFill>
          </a:ln>
          <a:effectLst/>
        </c:spPr>
      </c:pivotFmt>
      <c:pivotFmt>
        <c:idx val="74"/>
        <c:spPr>
          <a:solidFill>
            <a:schemeClr val="accent5">
              <a:lumMod val="20000"/>
              <a:lumOff val="80000"/>
            </a:schemeClr>
          </a:solidFill>
          <a:ln>
            <a:solidFill>
              <a:schemeClr val="bg1"/>
            </a:solidFill>
          </a:ln>
          <a:effectLst/>
        </c:spPr>
      </c:pivotFmt>
      <c:pivotFmt>
        <c:idx val="75"/>
        <c:spPr>
          <a:solidFill>
            <a:schemeClr val="accent1"/>
          </a:solidFill>
          <a:ln>
            <a:solidFill>
              <a:schemeClr val="bg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6"/>
        <c:spPr>
          <a:solidFill>
            <a:schemeClr val="accent5">
              <a:lumMod val="50000"/>
            </a:schemeClr>
          </a:solidFill>
          <a:ln>
            <a:solidFill>
              <a:schemeClr val="bg1"/>
            </a:solidFill>
          </a:ln>
          <a:effectLst/>
        </c:spPr>
        <c:dLbl>
          <c:idx val="0"/>
          <c:layout>
            <c:manualLayout>
              <c:x val="-8.0071285585031403E-17"/>
              <c:y val="-3.9209638465850455E-3"/>
            </c:manualLayout>
          </c:layout>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8663295036233677"/>
                  <c:h val="0.26979374584165006"/>
                </c:manualLayout>
              </c15:layout>
            </c:ext>
          </c:extLst>
        </c:dLbl>
      </c:pivotFmt>
      <c:pivotFmt>
        <c:idx val="77"/>
        <c:spPr>
          <a:solidFill>
            <a:schemeClr val="accent5">
              <a:lumMod val="75000"/>
            </a:schemeClr>
          </a:solidFill>
          <a:ln>
            <a:solidFill>
              <a:schemeClr val="bg1"/>
            </a:solidFill>
          </a:ln>
          <a:effectLst/>
        </c:spPr>
        <c:dLbl>
          <c:idx val="0"/>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732477426170785"/>
                  <c:h val="0.34880239520958084"/>
                </c:manualLayout>
              </c15:layout>
            </c:ext>
          </c:extLst>
        </c:dLbl>
      </c:pivotFmt>
      <c:pivotFmt>
        <c:idx val="78"/>
        <c:spPr>
          <a:solidFill>
            <a:schemeClr val="accent5">
              <a:lumMod val="60000"/>
              <a:lumOff val="40000"/>
            </a:schemeClr>
          </a:solidFill>
          <a:ln>
            <a:solidFill>
              <a:schemeClr val="bg1"/>
            </a:solidFill>
          </a:ln>
          <a:effectLst/>
        </c:spPr>
        <c:dLbl>
          <c:idx val="0"/>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9973567572921306"/>
                  <c:h val="0.34880239520958084"/>
                </c:manualLayout>
              </c15:layout>
            </c:ext>
          </c:extLst>
        </c:dLbl>
      </c:pivotFmt>
      <c:pivotFmt>
        <c:idx val="79"/>
        <c:spPr>
          <a:solidFill>
            <a:schemeClr val="accent5">
              <a:lumMod val="40000"/>
              <a:lumOff val="60000"/>
            </a:schemeClr>
          </a:solidFill>
          <a:ln>
            <a:solidFill>
              <a:schemeClr val="bg1"/>
            </a:solidFill>
          </a:ln>
          <a:effectLst/>
        </c:spPr>
        <c:dLbl>
          <c:idx val="0"/>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8881673792348278"/>
                  <c:h val="0.34880239520958084"/>
                </c:manualLayout>
              </c15:layout>
            </c:ext>
          </c:extLst>
        </c:dLbl>
      </c:pivotFmt>
      <c:pivotFmt>
        <c:idx val="80"/>
        <c:spPr>
          <a:solidFill>
            <a:schemeClr val="accent5">
              <a:lumMod val="20000"/>
              <a:lumOff val="80000"/>
            </a:schemeClr>
          </a:solidFill>
          <a:ln>
            <a:solidFill>
              <a:schemeClr val="bg1"/>
            </a:solidFill>
          </a:ln>
          <a:effectLst/>
        </c:spPr>
        <c:dLbl>
          <c:idx val="0"/>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7571401255660655"/>
                  <c:h val="0.22821024617431798"/>
                </c:manualLayout>
              </c15:layout>
            </c:ext>
          </c:extLst>
        </c:dLbl>
      </c:pivotFmt>
    </c:pivotFmts>
    <c:plotArea>
      <c:layout>
        <c:manualLayout>
          <c:layoutTarget val="inner"/>
          <c:xMode val="edge"/>
          <c:yMode val="edge"/>
          <c:x val="0.38115845287420835"/>
          <c:y val="0.21415502328675981"/>
          <c:w val="0.54896034516911796"/>
          <c:h val="0.74010312707917503"/>
        </c:manualLayout>
      </c:layout>
      <c:barChart>
        <c:barDir val="bar"/>
        <c:grouping val="clustered"/>
        <c:varyColors val="0"/>
        <c:ser>
          <c:idx val="0"/>
          <c:order val="0"/>
          <c:tx>
            <c:strRef>
              <c:f>'Sales by Product Category'!$B$3</c:f>
              <c:strCache>
                <c:ptCount val="1"/>
                <c:pt idx="0">
                  <c:v>Total</c:v>
                </c:pt>
              </c:strCache>
            </c:strRef>
          </c:tx>
          <c:spPr>
            <a:solidFill>
              <a:schemeClr val="accent1"/>
            </a:solidFill>
            <a:ln>
              <a:solidFill>
                <a:schemeClr val="bg1"/>
              </a:solidFill>
            </a:ln>
            <a:effectLst/>
          </c:spPr>
          <c:invertIfNegative val="0"/>
          <c:dPt>
            <c:idx val="0"/>
            <c:invertIfNegative val="0"/>
            <c:bubble3D val="0"/>
            <c:spPr>
              <a:solidFill>
                <a:schemeClr val="accent5">
                  <a:lumMod val="50000"/>
                </a:schemeClr>
              </a:solidFill>
              <a:ln>
                <a:solidFill>
                  <a:schemeClr val="bg1"/>
                </a:solidFill>
              </a:ln>
              <a:effectLst/>
            </c:spPr>
            <c:extLst>
              <c:ext xmlns:c16="http://schemas.microsoft.com/office/drawing/2014/chart" uri="{C3380CC4-5D6E-409C-BE32-E72D297353CC}">
                <c16:uniqueId val="{00000001-34FD-4664-8C89-32E29B9EF5B5}"/>
              </c:ext>
            </c:extLst>
          </c:dPt>
          <c:dPt>
            <c:idx val="1"/>
            <c:invertIfNegative val="0"/>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3-34FD-4664-8C89-32E29B9EF5B5}"/>
              </c:ext>
            </c:extLst>
          </c:dPt>
          <c:dPt>
            <c:idx val="2"/>
            <c:invertIfNegative val="0"/>
            <c:bubble3D val="0"/>
            <c:spPr>
              <a:solidFill>
                <a:schemeClr val="accent5">
                  <a:lumMod val="60000"/>
                  <a:lumOff val="40000"/>
                </a:schemeClr>
              </a:solidFill>
              <a:ln>
                <a:solidFill>
                  <a:schemeClr val="bg1"/>
                </a:solidFill>
              </a:ln>
              <a:effectLst/>
            </c:spPr>
            <c:extLst>
              <c:ext xmlns:c16="http://schemas.microsoft.com/office/drawing/2014/chart" uri="{C3380CC4-5D6E-409C-BE32-E72D297353CC}">
                <c16:uniqueId val="{00000005-34FD-4664-8C89-32E29B9EF5B5}"/>
              </c:ext>
            </c:extLst>
          </c:dPt>
          <c:dPt>
            <c:idx val="3"/>
            <c:invertIfNegative val="0"/>
            <c:bubble3D val="0"/>
            <c:spPr>
              <a:solidFill>
                <a:schemeClr val="accent5">
                  <a:lumMod val="40000"/>
                  <a:lumOff val="60000"/>
                </a:schemeClr>
              </a:solidFill>
              <a:ln>
                <a:solidFill>
                  <a:schemeClr val="bg1"/>
                </a:solidFill>
              </a:ln>
              <a:effectLst/>
            </c:spPr>
            <c:extLst>
              <c:ext xmlns:c16="http://schemas.microsoft.com/office/drawing/2014/chart" uri="{C3380CC4-5D6E-409C-BE32-E72D297353CC}">
                <c16:uniqueId val="{00000007-34FD-4664-8C89-32E29B9EF5B5}"/>
              </c:ext>
            </c:extLst>
          </c:dPt>
          <c:dPt>
            <c:idx val="4"/>
            <c:invertIfNegative val="0"/>
            <c:bubble3D val="0"/>
            <c:spPr>
              <a:solidFill>
                <a:schemeClr val="accent5">
                  <a:lumMod val="20000"/>
                  <a:lumOff val="80000"/>
                </a:schemeClr>
              </a:solidFill>
              <a:ln>
                <a:solidFill>
                  <a:schemeClr val="bg1"/>
                </a:solidFill>
              </a:ln>
              <a:effectLst/>
            </c:spPr>
            <c:extLst>
              <c:ext xmlns:c16="http://schemas.microsoft.com/office/drawing/2014/chart" uri="{C3380CC4-5D6E-409C-BE32-E72D297353CC}">
                <c16:uniqueId val="{00000009-34FD-4664-8C89-32E29B9EF5B5}"/>
              </c:ext>
            </c:extLst>
          </c:dPt>
          <c:dPt>
            <c:idx val="5"/>
            <c:invertIfNegative val="0"/>
            <c:bubble3D val="0"/>
            <c:extLst>
              <c:ext xmlns:c16="http://schemas.microsoft.com/office/drawing/2014/chart" uri="{C3380CC4-5D6E-409C-BE32-E72D297353CC}">
                <c16:uniqueId val="{0000000A-34FD-4664-8C89-32E29B9EF5B5}"/>
              </c:ext>
            </c:extLst>
          </c:dPt>
          <c:dPt>
            <c:idx val="6"/>
            <c:invertIfNegative val="0"/>
            <c:bubble3D val="0"/>
            <c:extLst>
              <c:ext xmlns:c16="http://schemas.microsoft.com/office/drawing/2014/chart" uri="{C3380CC4-5D6E-409C-BE32-E72D297353CC}">
                <c16:uniqueId val="{0000000B-34FD-4664-8C89-32E29B9EF5B5}"/>
              </c:ext>
            </c:extLst>
          </c:dPt>
          <c:dPt>
            <c:idx val="7"/>
            <c:invertIfNegative val="0"/>
            <c:bubble3D val="0"/>
            <c:extLst>
              <c:ext xmlns:c16="http://schemas.microsoft.com/office/drawing/2014/chart" uri="{C3380CC4-5D6E-409C-BE32-E72D297353CC}">
                <c16:uniqueId val="{0000000C-34FD-4664-8C89-32E29B9EF5B5}"/>
              </c:ext>
            </c:extLst>
          </c:dPt>
          <c:dPt>
            <c:idx val="8"/>
            <c:invertIfNegative val="0"/>
            <c:bubble3D val="0"/>
            <c:extLst>
              <c:ext xmlns:c16="http://schemas.microsoft.com/office/drawing/2014/chart" uri="{C3380CC4-5D6E-409C-BE32-E72D297353CC}">
                <c16:uniqueId val="{0000000D-34FD-4664-8C89-32E29B9EF5B5}"/>
              </c:ext>
            </c:extLst>
          </c:dPt>
          <c:dPt>
            <c:idx val="9"/>
            <c:invertIfNegative val="0"/>
            <c:bubble3D val="0"/>
            <c:extLst>
              <c:ext xmlns:c16="http://schemas.microsoft.com/office/drawing/2014/chart" uri="{C3380CC4-5D6E-409C-BE32-E72D297353CC}">
                <c16:uniqueId val="{0000000E-34FD-4664-8C89-32E29B9EF5B5}"/>
              </c:ext>
            </c:extLst>
          </c:dPt>
          <c:dPt>
            <c:idx val="10"/>
            <c:invertIfNegative val="0"/>
            <c:bubble3D val="0"/>
            <c:extLst>
              <c:ext xmlns:c16="http://schemas.microsoft.com/office/drawing/2014/chart" uri="{C3380CC4-5D6E-409C-BE32-E72D297353CC}">
                <c16:uniqueId val="{0000000F-34FD-4664-8C89-32E29B9EF5B5}"/>
              </c:ext>
            </c:extLst>
          </c:dPt>
          <c:dPt>
            <c:idx val="11"/>
            <c:invertIfNegative val="0"/>
            <c:bubble3D val="0"/>
            <c:extLst>
              <c:ext xmlns:c16="http://schemas.microsoft.com/office/drawing/2014/chart" uri="{C3380CC4-5D6E-409C-BE32-E72D297353CC}">
                <c16:uniqueId val="{00000010-34FD-4664-8C89-32E29B9EF5B5}"/>
              </c:ext>
            </c:extLst>
          </c:dPt>
          <c:dLbls>
            <c:dLbl>
              <c:idx val="0"/>
              <c:layout>
                <c:manualLayout>
                  <c:x val="-8.0071285585031403E-17"/>
                  <c:y val="-3.9209638465850455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663295036233677"/>
                      <c:h val="0.26979374584165006"/>
                    </c:manualLayout>
                  </c15:layout>
                </c:ext>
                <c:ext xmlns:c16="http://schemas.microsoft.com/office/drawing/2014/chart" uri="{C3380CC4-5D6E-409C-BE32-E72D297353CC}">
                  <c16:uniqueId val="{00000001-34FD-4664-8C89-32E29B9EF5B5}"/>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4732477426170785"/>
                      <c:h val="0.34880239520958084"/>
                    </c:manualLayout>
                  </c15:layout>
                </c:ext>
                <c:ext xmlns:c16="http://schemas.microsoft.com/office/drawing/2014/chart" uri="{C3380CC4-5D6E-409C-BE32-E72D297353CC}">
                  <c16:uniqueId val="{00000003-34FD-4664-8C89-32E29B9EF5B5}"/>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9973567572921306"/>
                      <c:h val="0.34880239520958084"/>
                    </c:manualLayout>
                  </c15:layout>
                </c:ext>
                <c:ext xmlns:c16="http://schemas.microsoft.com/office/drawing/2014/chart" uri="{C3380CC4-5D6E-409C-BE32-E72D297353CC}">
                  <c16:uniqueId val="{00000005-34FD-4664-8C89-32E29B9EF5B5}"/>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8881673792348278"/>
                      <c:h val="0.34880239520958084"/>
                    </c:manualLayout>
                  </c15:layout>
                </c:ext>
                <c:ext xmlns:c16="http://schemas.microsoft.com/office/drawing/2014/chart" uri="{C3380CC4-5D6E-409C-BE32-E72D297353CC}">
                  <c16:uniqueId val="{00000007-34FD-4664-8C89-32E29B9EF5B5}"/>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7571401255660655"/>
                      <c:h val="0.22821024617431798"/>
                    </c:manualLayout>
                  </c15:layout>
                </c:ext>
                <c:ext xmlns:c16="http://schemas.microsoft.com/office/drawing/2014/chart" uri="{C3380CC4-5D6E-409C-BE32-E72D297353CC}">
                  <c16:uniqueId val="{00000009-34FD-4664-8C89-32E29B9EF5B5}"/>
                </c:ext>
              </c:extLst>
            </c:dLbl>
            <c:spPr>
              <a:noFill/>
              <a:ln>
                <a:noFill/>
              </a:ln>
              <a:effectLst/>
            </c:spPr>
            <c:txPr>
              <a:bodyPr rot="0" spcFirstLastPara="1" vertOverflow="clip" horzOverflow="clip" vert="horz" wrap="square" lIns="36576" tIns="18288" rIns="36576" bIns="18288" anchor="ctr" anchorCtr="1">
                <a:spAutoFit/>
              </a:bodyPr>
              <a:lstStyle/>
              <a:p>
                <a:pPr>
                  <a:defRPr sz="2400" b="0" i="0" u="none" strike="noStrike" kern="1200" baseline="0">
                    <a:solidFill>
                      <a:schemeClr val="dk1">
                        <a:lumMod val="65000"/>
                        <a:lumOff val="3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_("$"* #,##0.00_);_("$"* \(#,##0.00\);_("$"* "-"??_);_(@_)</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11-34FD-4664-8C89-32E29B9EF5B5}"/>
            </c:ext>
          </c:extLst>
        </c:ser>
        <c:dLbls>
          <c:showLegendKey val="0"/>
          <c:showVal val="1"/>
          <c:showCatName val="0"/>
          <c:showSerName val="0"/>
          <c:showPercent val="0"/>
          <c:showBubbleSize val="0"/>
        </c:dLbls>
        <c:gapWidth val="30"/>
        <c:axId val="1977391231"/>
        <c:axId val="1977391647"/>
      </c:barChart>
      <c:catAx>
        <c:axId val="1977391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sz="2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977391647"/>
        <c:crosses val="autoZero"/>
        <c:auto val="1"/>
        <c:lblAlgn val="ctr"/>
        <c:lblOffset val="100"/>
        <c:noMultiLvlLbl val="0"/>
      </c:catAx>
      <c:valAx>
        <c:axId val="1977391647"/>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97739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sz="24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Performance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Performance by State</a:t>
          </a:r>
        </a:p>
      </cx:txPr>
    </cx:title>
    <cx:plotArea>
      <cx:plotAreaRegion>
        <cx:series layoutId="regionMap" uniqueId="{ADA869FE-56F8-40D3-B970-F2C3FFDC29CC}">
          <cx:tx>
            <cx:txData>
              <cx:f>_xlchart.v5.2</cx:f>
              <cx:v>Revenue</cx:v>
            </cx:txData>
          </cx:tx>
          <cx:dataLabels>
            <cx:txPr>
              <a:bodyPr spcFirstLastPara="1" vertOverflow="ellipsis" horzOverflow="overflow" wrap="square" lIns="0" tIns="0" rIns="0" bIns="0" anchor="ctr" anchorCtr="1"/>
              <a:lstStyle/>
              <a:p>
                <a:pPr algn="ctr" rtl="0">
                  <a:defRPr>
                    <a:latin typeface="Garamond" panose="02020404030301010803" pitchFamily="18" charset="0"/>
                    <a:ea typeface="Garamond" panose="02020404030301010803" pitchFamily="18" charset="0"/>
                    <a:cs typeface="Garamond" panose="02020404030301010803" pitchFamily="18" charset="0"/>
                  </a:defRPr>
                </a:pPr>
                <a:endParaRPr lang="en-US" sz="850" b="0" i="0" u="none" strike="noStrike" baseline="0">
                  <a:solidFill>
                    <a:sysClr val="windowText" lastClr="000000">
                      <a:lumMod val="65000"/>
                      <a:lumOff val="35000"/>
                    </a:sysClr>
                  </a:solidFill>
                  <a:latin typeface="Garamond" panose="02020404030301010803" pitchFamily="18" charset="0"/>
                </a:endParaRPr>
              </a:p>
            </cx:txPr>
            <cx:visibility seriesName="0" categoryName="1" value="1"/>
            <cx:separator>
</cx:separator>
          </cx:dataLabels>
          <cx:dataId val="0"/>
          <cx:layoutPr>
            <cx:geography viewedRegionType="countryRegion" cultureLanguage="en-US" cultureRegion="US" attribution="Powered by Bing">
              <cx:geoCache provider="{E9337A44-BEBE-4D9F-B70C-5C5E7DAFC167}">
                <cx:binary>1HvZbtxItu2vFPx8qYo5GI2uA1wyMzVatiXLXfYLIUsqzgwyOPPr76JSdllpt3yq0bhA+cEJMUlG
7HnttSP/eTf94654uHW/TGVRtf+4m357lXRd/Y9ff23vkofytj0q0ztnW/tHd3Rny1/tH3+kdw+/
3rvbMa3iXxmh4te75NZ1D9Or//kn3hY/2At7d9ultnrXP7j56qHti6594bsffvXL7X2ZVpu07Vx6
19HfXv3r/7765aHq0m5+P9cPv7169v2rX349fMt3K/5SYFNdf49nhT4SlHKpfW0e/+lXvxS2ip++
9igjR1Iq4RNByfqPfln78rbE8/+6bRNI39nqy/Uf7elxR7f39+6hbSHO4+fzZ5/JsBfxzvZVt2ot
hgJ/e3VTpd3D/S/X3W330L76JW1tuL8htKsgN9ePkv/6XO//88+DC9DFwZVvTHOouJ999Z1l3l++
pIW/Zhkuj3zBjCG+/6h4wp5bxldHXHAmlFD77/mXtfeWef9QVVD3w8OXy/97w3zz6IFdVgH/hna5
/PiSEv6aXQQ7MtwwwTn7qvdvI0bLI4VvpKJiH1Hqy9p7u1w+jL98tC7/cvV/b5Y/nzywyire39Aq
b65e0sFftAqHVXzlK672WjfPo2Wfx3ykuoME9sY9xP9J8vry3IEpVpn+hqbYXfz3TMH8I2mkpIo+
WeLAFD47Er7mgvn8awDty9k+QHaFden97Usb+nE9+frggU1W4f6GNjn9L9pEkCPKBFW+2Kv8u2Ji
jqhA8Ehffg2fb21yWhRpZVPU3X8PPH5slD+fPLDKKt7f0Cr/On1JB38xaYkjxY2RXJGvWv+2lPjm
SHOGWDI/jpR/pe2drdr0P8Fefz56YJdVwL+hXW7e//fsws0RZ1xrxeQ+XA6gF6X0SGmfMaYOivtN
d5u8tI8fx8j+qQM7rAL9De0Q/hebE66PmBRKGWr2dkDt/jY+KDVHimqmqXiqNV90v68k4W2R/mFd
lf4HxeTbZw8ss4r4N7TM6eaLdn4EOf9y5uK+IRo1ZZ+5/EPLILUhbWmfyC+r7m1yen+b2C+XfrSR
H4fI02MHllhF+htaInzzkgL+miW4f2SMLyURT+3IYYwQeSSF9rk66A9DC5x1e/8f2OLPJw/Mscr1
NzTH5Yf/ojlQOkCXCMmfSvp3gaEQGJL7+qmth7m+BVqXD8Ptf4J9vzx3YJFVtL+BRV7e4reQ89md
f5HrQlmXBFSX4Ppr4/FtOTHmiNA1UMxT5y6e2+aAgfr32/pxCjt4/Jkk/5/orX9PfX3lCDe33e32
kVz8hv16+dtHcUF2Hjz6rFV4Ju0XtZ7e//aKCWj5K2W5vuJZPBwoba/zr8893Lbdb688pY6M5lyB
xUT7TwUBKhsf1q8ADo4kZSDRDJeAEj7CsbKuS357pSkiVWiYm/mUoUq1tl+vUyRUziTqGgWwMEAX
X9nct7aYQRZ81cbT379UffnWplXX/vaKI8vW+9vWXa4rgnowinKmFRgKhg3Ud7dX4ExxN/0/Bc1c
RcdcPvg06nqzZbWovSIk9ZAuH6Ts6/xWeE62u6qZ21lsOjbJZAo9G5HPceVE5YWWTbk+M4mc+01u
vKo5GU1ZtK8LWdbeHNh8kvVnmXfZZDfQVZHxMNZa0Ac92bm/KpJJF7e+L+vojpe8UZexSpuaByVN
W2xF1NKVbxJKurHaxIV0eR3YUZblBdVzgy3HZUnnc1byKvvDaweLZ74x6Q+UBI75mY4MAZ9mkDbN
ivUYgUd8qyNNy7RPVOI/RKOtsuakK0UhTgoxtE6fLG3cpWO4pDXAXkGilEW7l5engPPP19eao9ES
3OewFDbzfP0l436riErvM5rzPA07yyVPAmOY12Q7N42x6zYu6WKRBJ7wlrp6Owo+tyykYlEjP+tU
UrV5YG3DHb000m/w3cubhAt/u0dNOOfo0A1fecXVLZ/vcUpSjyWOe/fKcwNhm3jRsW52hS86ToLK
dUp9yiWJOrR3X8Pt57ZZ1xVGaIZWiBmfH65b97PV1uP+fTzD51QwkLpof09ExKo4GLO0T99UEeYo
XZAkFg1T8PLy4IoOxNbCBzXBjJBouPSqlm/CJ5ZD6pEp4feeLnTDQzkSJW8RSF53apdUF5epRy19
zfNm7q/zlpAlCTCyKKCUv7oT1GyQ7dInhqBEkOc7SXQSFdlM3L1QI0JuN1O10Hwn3di3Ypv6kVCf
XA8VNEGr0Ft+smQenNkOqSX1+BOrID09V4tkmMlI6SupYBp+4A2dSkk251V0F5mlku7YNnUZzVsv
KlszH8++m+AiL8tPDzKZJtKQdeCAQAX25/6BAmKzZNLUnfc5SZ0uvZOpS9aAKCebYFbTj5lYRJiW
7czqYDKMQxEyJUl/XdYqm8PKo666NmVSumrTSOvYVTmkVfv55W2u+fSbfKvB8BIhiJBUI4dzdZBL
+jHyHWmW6fPkOgcnIH1OYB8yjVx6weT44F3XLG/WoOlGu36kddz/xD7fKYtSpYXiRBlfcIHU9txb
/Ia13dwq+7kqpIccniF7LWMwzKSb5TmPJPJ+G/cuvy0zWSGjurp0VJ74XuYNedAkyLZr5p8TPFWl
SzGciymvbfmTtEIPAww9NFearXQGLKzUQX2a+FjVplr45zZiyiu3WdfWRf+2Wbq0rsKxmRtsztPl
gO/s3JR23vj5MnvXY11Hp61xRRaH5bKQ+bxMmqqLgsoQFXVhL4lXXKnSxEsZMm4mpETmZTOtzshi
Crw1T6OxaX4SphQA+pkDMEV9o4wimGqiBZUHGQOeWTVDNdSftLQyk2FNfAlXjKLeGBfSRXtI7dG8
z55FL/Bd/5hOahr5+GoaO66aXT/yn8eQOMziDGjDIJAoZZhWfOcW+ZS3ZZTY+lPtEEXNlre5L14z
mvD5nLf9DHWYaCiWD2UyzbMO+sSNTRIi4Y/qKm6WyDtxpciWD87rW3Xpp2oFCJMYysIc571czWNb
buBC86DlcFW7LF8+LIXKxzwgRbEWrRTah4FsZRJc5LMDEvHLaYLtuMxmfLQLiTt/U8uWtzul+9V2
+RSnABjN4/LGj715DHw7ZXiFBXjAzlOvWrFBV8syv51aVTX1zgyODteC26W7cC6PXFAUpWNl6MVR
OZ3EAsX1Y+VXkfgwkIHCybQfA2cMTWUBUV7ODYdZE9rXRGtgfKGV5PTANXg0VzE1dfFpoWXr4mBi
RNdtMNrMFqe8b0YkipdXPMxGTCMXMYq6TQVq9+GKrSNtMpZ8/MiXfnXGsRdr+mOtzlG81dBI9SnK
+AInHFnftfFrjcQCP315GyucfRYUXCvFNGqFZIQJoOTn6WjhQ994RpUfSlGVHQ8620vvwTZJg2yU
5G1Fty7SNn07tH6MjFMn0sbb2O/YYANf67EYgo7FzXkR+ep64q7w56AdqRquOt8jadjIZbLncCKS
BBkRUVoHIlJ0DfaEwA/tkABdnEZZ3q2RP6CBfgN+VddzwHPHp+H4ZYkP85rPUaBWfpY9Uh/oCZ5L
nKsoqcam1TdDXxGAWOkcA4gdltVvBUCWOEnoOMFtp9xwfMTdI7L1VL26NO+zkUXX0aRWl2ZNupTu
JK0ZX1Nks7SE7ppiqNv0eJFzjqiLxnLF1HT2S0Snpg3C6GWR2EFm84GAfJRNZDVYkFJykKobXpWL
zSp243cJR2x1dbxuoPN4v4buYxyDJJqxtyiZ1hBHrlxTiqsbFBovoYDxdJLrJdvkbX5bmEyLk3Qs
Vj0082jVZdRMuCtN+CriHJeq3eWednxX+27gbTijXkDcn4h20AFANEMxEaQIFSIF8N5za3VTTnXR
2/mGx8OaqTrXwLWWYkntXUf8nFXB3Nlm+aBZtdbH0rMUBplUWcTzdikV7eKd4V4/3gClOqhj1BmH
9/FhQTapUs/AxcRY1Gt265E2T1JWj0hrHRAJFky7iOAv9FgUqihjAVV0nU68LpRFnyEkEsMy/LXX
z5oK89uXlXAQoz7gAtCVZtJH20m+g7p0XISaVeO9H0ptkR328JYl/jTkITrLJK5+lhYOytG6pOAA
9gRliSigpudqJ5kFaq0n/b7tKTykm7sODoXaD/2IrBZWbqPRs1MbqILPUHgxRBUgC5IetDS6qeje
atX6UbaLOuEjGSAghysH1gUVoPQQ+N1UoVA9mS1uxgqqnAq/QqwgilZzxPm0GsLLUooPM2dmuCK2
tNiJzHPUplx1a5/6sraF4RDuG6QI4dcigCRBMT74vqMCHGy9mEzz+ySZVREFXZ/zOoxGEmWXii3C
zdsmcar2A8OYyZLAuSZtzkjR80kGNdCOd+7i0hOvozLRPGxGO8V3JC3IyRj1Qm1yXdniXmTF4q5K
q0ocJFtoMb4RAyXTsvGzysg6bIAf2343jtIfLl2TRJMNVElKesGJo2ZTVc7QMJu63kWBnfxmyYKk
GpyYwnjKBwTDsLhxLoLJk5nIdobRXlyroptFHJKJ9mN/XJsxoRHwWxR3p12igcxCvRTjsqCthSvW
p1M+R33QtHWmdoPRMd/I0puW96OyLP3QiyKONlx0jIYz+lM7ByruWrMxKRvzMJZFfKIZ7zaNJeNy
HpmKkGM60oTtYq/1E7Ktc1uKm1kOce7dGEum6f3UTbx77bVd5V2hYuj+Xjql3M2ih7iyQW0tTdp3
ZlqK/DhKwW7sFiv80gYmt5wloXZL2/ifaZn51X3CajtMG7jK3DyYvhtHEubF2NLspIuqRvob9AGy
UMdR6eXq0lDt5fnxoGrWFslD4le8g5Ynyn0nXi/cDnDphbq2Tt5hetspsq0qUdf6tDdRmhQXlZzy
Jt5mQ9yNw8UoozhNd5Eox15eRRXjzanKRBL7O/iK4nlQDwtBWS9aPx1NEHtCNd0midySzadj3HpJ
ejymJapNmJtRIMEOddrL363XK9mewjlGLwpHDthCL/saqMsE3cz9Sb0pmNb46PYXvTQt8B0x6Opd
uNhWNJ+XvjFsOMuUq2N2QifP0zqcM5n3+niqMloWgRTDWheJ9FKIE3OJonI7RTMG12EmEyPjN/NY
j7V+m0VeNhY7nXOP1ad5Pxt/eKMyLlMTNMasnIR2nUzyDzqOIm85F6JooSlvbpCyXyNrN4k893jk
dHFB0yalxdssGzM/2o4ZEkG8tSnl2DtS1rqlefAKwrYkTua02ZA6z5y/qTriyep3FrMK65VZYcxN
H/tNEzq03tAs8/sUFSSkKllfgv0DsgRNY1ZML5IW0od1QiuudlkyrhrjRZfjw7ZJ511XpV5Tvhi6
2NehGTsLB1gq4I3jzrgS99V7UZNOLlBfk2n8Qy1pI6xWJBRNZkXT1Ty0FgmT/6LFtOq5EiYDl+T1
noMpvCr3E/HQNGhomp1LUyCtcPTprJsw9RPZe7Cg6Jv+Q5dVfVpBX16y2OOkXwSdXvuZXrecwtL1
cq3gWViB46vmc+RNq4Mp562Wl7OHa4UpV9UMA46JpCixfjNiDwPOF0DGJ3mc47z5DMItwTU51VZd
51JEhodiNCCAglonFLp48p5oaQ1eqTNvFS7q5kdl9PAaFz5hXCMXuf7FW5m/5iR13vWTqr397V+U
vL8PTAHLX2tWl9gArbxk+Jynqk7dcVrxGUI3bMH53SBmPE7JNRrw2JpA7g1ll6GDq6Hz7l18WlEz
RzKgeTLM6o0pewstDawscAurwbG5EDRHNJggJ/MKeuNSMlwsdEyaz2avQVsjgpDX9jIlLEWPFta2
UiM9mXt/7c7J3rR791BRXkA/SqR4Yit1sQo/qTmBn8bUrcskIlG4ONuG6ORm8VLRd2eQlK/q3TvS
0s89dgkh17fQ1LV4DpMNDu9qu2Td+l6h3jIu+MMW3Aq99Yis8ux0YVJP9XFMQCKR7Zj2FjFtsnhl
PtoR9k0HzZrPVMUV3KeVQKwQ3g0Au29acNnrC9mwfogh9vFRVGQNh3KR6/6rXsXJeNMXcRGnuyr2
8d6k4TTmJ3k7a9qd872vpFlrOn38pHKTDQ7bmVKe4yWoABaLZ3Wao84PtFkUuQFyy/xhUzdeV6Uh
aeMIi8sswYh/0xU1uM0ChAEoG5gp6U+1jddw7lFfcS2fe5X5uxxgcZrPuGmLyZ50wpKyDAsjinII
ojYGbUgN7XF/0jUtPgAaZXFZNj3+n8sRvJ0kIwVV1IDLLy6HvItACowuw+o0ie3wQVXRhC4gmpfV
90eDVJ7tJt4wZBjfJUXvb4sSJbbcTl4VmfZUGpSq6SNRU4Z8ExfW5vnJE52cdUXisl2fFOh372bR
4tzpSZ0lUMcxf4yZxvoFFNZGYx4tH3ji27G7afiYjOqk24s+mbiFing9LTkkyuOxlVu1EIos1zmx
qo9O9eo14KtWF9/zp36bj9AA7dkqb5emDB8ODo77mxTsoxekxQJe2QiWVyYAZTGr8jWvqcMdaqZr
DzvIvoVf7UmWhcrCRbu+alzETuOoWfCOZU+9RWjLwRo2UuSgKCOao/UtS/ROVdgVICbkeZmrNZ46
MaYg4ePc75AquYpm1Lx2RqbJduhsV+X1KV+pAtb7Obj4rKhiPO7mAlJ+HAHPIu9sjFrn0kvDs5Wk
tD3K3WudR1x17wRorDnaTlHmzclOjbUs2g2oC6pEoEECqU8i5hQtOYqhgfEXTyyQSlXlWjZKGa3u
5pijcL69JrPOgonmKUn5cDYusoz0u3zpR+/aAUyDVVjqxqhPyLfwL2+sF2ggE2SVIaorD8kf7eXK
UhUp8CqQtSntWH9SZk4a+llMhSoulWrqOdoJZtvO+2NMaTZFW1Q0XsigLcB/e6FfUO0+gJEc8+49
iZssjsNIzjyZrkYNbNPcmyEdGvaxjXxQE8cu74fShB5b2vzDInombNCjOkxo9im1wJRaS9PTHl5e
ZoaFAy56egj0iMnUtHmSZG/Lps5AEIeYfc+rWI/ppiiGNf+ZOV6zCdD/GrxpW653VI/sfZSx9Zqk
xMMdczyvN0Yc7ES5Ree+zjbSIqoRyjHQYnS5dDOttxkCdY1KU67fPLksMCUykZEY9mAE8EjBr+nU
i0M3zY7rgDJH/Ld9ouPRBiOpQNiLeYkMOx2bao3y2FtWOrDFnAgfArCsO20WAv8WBPOHS/CW687z
FJPGT08LSWdQ0hq4ine979iqNFt0HmRV3Yt3+T5h5XuisfHpSkZ7RbOSkK1TTohNGZeNjYKkUb13
3aeyhszdiCnecJayeIVxiZiwhh6KdVv9Y8B5NkcdCSLZr0Fes3XMuKnGafVJHS0sTwOZtFVZbpOs
QDTu9goBD7wmvRxHQfFe0VIvO08YL7T/E+LroKEHl4P8AA9mSG6KfkcrJx1mCOCr2XVircKudRxP
iIbRIs02nlgjqBhAvCTBkDbr3n/S3T3v7dbl1TqrIfuDyIf0u+sn642tBlW1T40ZOGDsAn0AIunl
pQ4IdEQTwXECrAXKCv+rta3/ZkI1+nnjR4CSX3yE5JO1YVNHQrzRBjMrZGSVrEbt0wwWtsIJmOwp
Ob68l+cUAg4rwn98itMlCuNw+Dl7vpdo4Az0bRZfG0zV1KdU0hWPty2OY28XC+j8Mz1/vyB+oQLi
QPmGgVw0B7xinjhCi5JEV81UoVDEOSr+qZ5zpLmnyH5ZQLrSdn827auE4G6J1JT5jGIcdbDgVGQi
rrpCXT1ljDFZVtJ+VnyWcjeJ1h92WR0t7l0/8jnblH215nPukBq8dhGoRz/Z0XNPx47QSvkGxUsb
iXM/h2Ox2RBv1DNvrop9UI3AdYjxqc8j5PXUH1KYIBH9jMg0HMUB0MJL1o1kNW/6JRwadPY7WXIr
STAhtcwhUn2D2xEfEb1MZ45+Mhz386x6n2ZfFuLQjDCcIJxITExwttU/nLKi7jYdm7zhMmnzNTMt
j0CobmXVv5s9vxc4y/3SUPlH60kCQ67/lFIH5KyegEaYT/rLp7I3xUmTBcQis9rAtWn8l6g1SUD5
U5y3QmDgIDWOwR/wXHyMwEQPaXa5L0sAyas1dF4gLqq2WQvGywKuL/zGTeEQGD8JRCDOowgwmgd8
5jgvU+oWmZ/oynO5DHVZav5JOQTMz0Lw+6VgOh8TPPxaDE3moWxlxMq5j1V8socigwQ7Aj9iTYmP
l6V6OorxjWDgCrGUwQEZwpFC8IOb5xmGEMxldJq0x25hJGm3TE7raYQexxN7+0e7VJihh7aNwa2a
oIwWdItBJ+OOlueo1jiCE4c2r8H8XDAB7oG8LSMZx/ZkBjaQ9jKa0pxOcxgxjJw+tk1Tog1yGRNV
sy2LfmFdSCxRbbnxnQTVdsEnarl6a/bzvFyhGeFvoqqkzfQ6j5PB4MhMP6iUghPJcFTjBI2GTstN
4WU1TPEEULSHx5Ig38MKIHQfxUI9prF9q5GPBKl7TEqG1I3WcIUB48A8AFrLfPQJFetxAyCW6vUl
b4sVzHl7bFNjOIpoJ7VPlzTI266kS1C1zlTpRtW6yPrgC+XRoGwmwROQeURQmKyN0O/S+GsR180A
Zgm9Ra7YtvYtlixzdBXDGcG0Io3DYipb9FPg84usuOGAvYZfqrkzoj7NFPFWMqAdHHjWed+HmXFu
ebNJ8r4E7QoGRmPKEGRJ59so9Hobj6QMGo7TQ+ytaUytx23cKCGb93I2w2LfY96wTrSAAQlTl7Zr
MUR4n9Zgm+MNDiHhOMEucQ2lWVhSgM4/ZrSerX8m1TSyT1ROc+dfgjaL6neVMVnOtlnVegSdMBLH
1IU4yoVZ+rayM2y7GSe2uDkgHpiJIQQ0o9IPZzFH40Vu2q5dAoyjxxTdtPEd5qJpQtpjQYpu/KxI
mc/JJhIA3FVQ6qp0v1dgXrw+8Pcjt6dc1GAeHqsLv0TeznZVUijWA0U/4iwQ3ytOnKtuLTp71yge
0WClixwtmzM4EVMHgyOqpMhksdXYBstzFoy5N5j3SOLWv64r4xW7MpWxDJI4Hq/lnMpsM6djdJyK
gZ+khC+npZuGEzAZ9ko7xcLJyORSp11BwBkP7n0Epz4RsbRtgOhLPmeuLn6PSWo3k6ERetGCd8do
dkEpsUqe+zX5ZHOEYzXW6kKNab3RIklgXeK5XaYnsc1s2r9ZsqIjW6DybuvPhBfwWFXeJXV/zaio
z53w4vNyaLutbEFB4+xLfDLY3mwSM/rvdJ00mOvX6X3aNtGmSOo4mEVVbWRkmjN/YeVujipMgata
Crzan6tQZJXejXjlqY9+7LObbH+Mcw/RfWPy4jifaLEEs8nkLsmIva4FuPmgAEXTBh638c04Lf5t
4VUSrXxfvh99lm4J68iZICZJA+t5/EKAptu5rsUPZjMdvQN5mOK8UsfNPcWoB/0MrenVwLIk3dVz
5W1pW3ZX7SBAOCAVbNp56s946+Y8kOXoh5E2UeL/ng7MzKc4gdDftUxkdGv7ukObk5bJHAz4rdWD
30ldbrzIc2elwXGEjaBd9m4aeI4+qbTnsu1oE0Z+Ym9J1tYXkxbkvFV09dBIrjPUeBjPJsDZ10Tn
wynYb+8szXnCNj6y3z0dR14Fy+LTBG1z7X0c62Z8aDxvCllKl9u2zSzDiYIaxweXpYXnJkVdBDgx
5fpNvYz5dKb6uIkDQuv0cqYaiRgtVTiMvOBn+FF4UZ+5qXE7VvfsXBblFIDp/SDH+Y70UXQpKMJn
aPtuA2qRpEE8lYPeyNnyrdBddVknwn2c6wmYjGC8HbdBn+MMRB7qNJZ14PVc3GIybQPOiurYgigI
GCm7dxOt8ndtMnd5mHddfNMkc/O7m+qSBc3UT2FEXZ0FGfaHiasPzg2BNyVLKCZ/fGtYmxRhtQzZ
bVbWS4AhT/kBP25rgroe6DuDIcJpzZwf9o5EZyKtxG3rq+kiA98/YOwgeiwadUHUew060j6+UL5n
06Cgubl1HkDNxgc+ywKZtc1bNap8h0SvVGjSRZ901CZvcU4HZzvGxN0wW9XHQz/R46we1K3j0c2I
PvlmacrFP25qMQdZU8YPMxRynHS677eAgfN154yMAicaTGzzuAtIMgynyuT1cQMcSoNYt+bGVJ35
zKeav89cZD8Py7A89HDwzaAtey1wsOCYoFJsmqnproEvvUCO1XDhuTb/tBBbHfOCRjiZBTr5MpmJ
QC2bkJFIlvrgg2SuTjQGM2HdVtlxLnt3g7NdHPsf2BklFd9lircfwcs1b02VuBM6F+a6LN1yHrdZ
s500Ui7a4DK9rATpzlwvxrdVG7n3zvfFHc8HJAfWzMOlmEsEDzitN5R3/fnk9HiajhO34G386jhS
pdigPcYJS9Ae5nTxXHQRRYl7tzA/ufFBnXxsFr97j4IfnyDY9OuFeh3OMKl0V5hIXmDCTXnYlabY
+Mtccfi7q3ZL7Nm3OSj4t/Fk6ybEyRCyc2PWfKy7XsRorpflwhnRn+OgUg52oLTvY76YEjm7nLZc
5/4JxcwvHOpFvPGHmIOZd969FzGcQbuYpVhSE87lBKy70T0obf8il3zQ3ZbgB+JFFxSmji5Gr47f
gmUpLj0xVx+Kzt3imRhEb0o/tCUQTNbr7HIyGY5fypqmZ8bW7FPvRf0YFslIXuOoT3+TsmFojhNW
cBGahOpzEVnn7wwpK3NWJn69wRxXLMGAeffGN0upg2zpzBCUPKourYd5//nsNRq6VmTs3EVjBgx6
6OToeFqJpnzDJ+G905VJ61BNLrHbxNTuKovTodxi5Dsn52Wa23TjuUriEGIUUe9YD227XM1+5frk
eIUeZGOaCT9NyaE1O8b5WY6e3BUh1UAuoSz76P+xd2bNceNYFv4r8wdYAS7gEjExD1xyk5SSUrJs
+QXhrUCCGwgSIMBfPydtV5ft6q6OnuepqKgIuyRlJgkC957z3SNzB7VEzEWoff68JtvoipF08S1w
PeaXq48S8WZBI7680Abdn8I+ouRCYxROfABWdDBLnJxoYMkgnrfQscDkzk4k06cAmx05phEcgf3U
uUGVtZmpfso83goQOLzLVK48xru28KLMPjUhqJk8qKPucXS+t+1XNJqiIMkUkNs1E3YoAgUd/y7p
sJ2WAOS2coSydRLB0hSYXWtPi+fsLO4758XZFuLyD8T2JXSavr1SWjKg/f2yRCJdSheLuAsgsM8j
nocU9mahfRf0VeTrrr5ta7izeT9A5i22xU5DHvYOxk+iRXsYmoiOFYdReNc2kElLYRt7CHnkp2Wc
kjqBJCaUf2y5krAjNU1cHqxwv+MlWM4ezWxS9IJFc55EbQgpDprdiy899dlkKE1CJV2wH0fmhxU3
daCDAiVc7Y0FvHmgaGue1PHFedGYoDDTqWu6Ajvpgi8YidfY5hM2oSmNq1p2Mqd88m1WtX3iJ3Ul
AztSeud7JtZvYOb27CCmNPrAjXm/bTV/w2v5nmeSihxtQv+0gu2oWMrUnuDwINgkYgX7K9luOhd0
ZxU2emdqlRVykpvME2CaMu972j+poYtLpWKX67SJsL+apf+0cLbtkrGDjcctu4PDmJLCt/M6lRsO
m+ghm+vwKQFApMrGQOvBesCCycHDrZ/9UbaPchrmtJqThN/O4zA+6WleeKUtN+wI1Zgnudfb7NiP
YiqDYep27cTo09ASv8qWerxpGfXugtZGN4GEaTnyGeZ1hraoDAJmPgw60fvNBkGXkwSHcEkyM82V
9OPxDH5wXY5SrSzP5pXYYmq5KKJ4NjLP/J6BIQUQqY9zjA9XOYjcTxvD+D2D7z3tBfy1UuGhXPPN
teqMUx6HfxO3XdkI1Bd4C+yCU6fZ6SSLCz3I+kU03H8P5c3uAO1k+5Fk/S6RiXjwBFGF6eP6HRn6
N50ACcbRuO2SgInXcQ2WMafhOL6GhKmTDkJmc6asSIsG4uiJyQAfmhMo3I01BZrd8F6gLTmZ1W8+
tXWYvG8Z99+1frjeGji3JZXTeAwhGb9AfA/a655mZR4KMt3FjIWoW7E5Xhdh9Clqr82wG/rrqW2D
+eNoUq+puriBEQoxeYyPAx2asZhVYxd4TdsIsTBZhV+EHfaRPPYaQe86OQcf67pe2jzo8B5y0SV1
WrT4uQXkL6yJ2kl67GMdJOVSA+RUqLVafurluLyV6NrqopVhSN7j4F1Vnnnpag7e0sblIoV3aCYa
vLlyAzt/M63OG+fJe0qt+KhNKnE8oPPcjZqBhhoZDW9h3akb6QCV5IqjpLm1s5Yf22CxTTFDZjR5
Yzr7aVkcnhU8lOjTtISK+dnAtTI5HDlTDcKEJ4jUHMhUYzcU88BGv0RASNmuT+rlJnLo33IP5chS
dmzyaOVNPZhfshn6ssxd95pIY4t2DueyI95EznpN/Ce4a2kGKgg1XB4va93tVxRVJ+x+w1rZqa4F
SrkMpScoDm88h/Xqe4VmVxLP9YTKSkmDCQMQKVhERVT3tYhas+MmhpXSt4VoUaSp6trGmoK5qQlQ
U4cD294Nsx7a+2D017lEV8FabGlZPG6yUL7mndt7JBBDdB/rkKV5609N+KEDNuoNhfFSK9gOhllr
yV1bj/GYFei2bSRzvdX9rIsEBy51ZQ3/Ku1yDZo7cuVgHOvbG5eyICTFrNGAyYfOQB0KcwvMO9M7
peXUvOO8jUZernhUYKNgGiccVG7sNMbLjqNWG4661l7/+zzN1tCqBv/UDxWd4LU9MRLAe9lLgFLL
UCoXeUQ8CC1b3IfIAy6lBUhmeAAGmDs+/pfeyxKC6ziLwZWZrC19R+Ey1U/fxFpPXg2Hpcuu0mjg
MytvMOt7te7BC1x9EDyHW/KZR4zYeA+uesPzNvlz1rxqudZenQ8phC4PnS0Ta4wjAtvx8qJrCArp
7YKC0p6JyIiLCs1nPbX7De4W7haOPDGKj2GqB9OXtFu0G25CjY+35YiCCoK5APQS9uwpXKhs4ioG
qNqEJ6L15EZwSM2CGge9A592UqYC+7G3jGULCukuAMyF0l1m2DFd1qCISqN9syS9cxIqrIGS2hRA
qnS3RhUfbNR0lVxB3GTQDoYxvd1Q+qUV87qYwQUzLJM696Mpi6rEbWG0h+/Xv8hUd2880DVLHowY
PssjjWenAm3SfyZDiyoL9Hut2mqM56wujQKnYvMtmGA+brF2Xyn7U9Zw80BBxx6gAze3I2Fh0Qax
vhO+c30lwx6wlslgBEuvexKZXZPjhBIuycNBuii3w9oOe7UQUIw2leuA4RzTfpYbYS221qhneYxz
VJdLuLnL3HirRYHgdRUqUHSITEhK9yqOlr5kfWo/ehuzTuY+Xyf/krZNS0sknw2fFIGBnc/CoDUY
Ns+gG1HCryuUE2o+6Jq25jP37FVxQUUdDMXW1nyHOS3DvF2v/RRwTjBlQ8FINI5V5Mh88Ocxee1M
F/lzkbCAjwUExYaiQ03cfO7TmOgyIFQv74A+AJvIlQRlV4DpmAwKJD8AVwRx68zRefd5NKEOv7Mw
3Gy+hm1SJW3cnTw+j0DZNcVwBdg62QPdCJyey3SgGSwpb6n3mFvAjUks9/IQbN1hkt0kCg3B7OMG
YAFrg2WP2iMjPucmd7Ev7YPDzS6jjKVZJcBWfPEAL0E8FJLfetiG5/doLtf6MRG9ulZdYdAcUMHE
JxUltPmILTJ0+9BE4jKuIbsDJsk/c+XjyqfrZoGrMQ1lZNsam8uGrG9SS/XDqroaHwFjbHCHk37E
bpr0GFZoaXbxIR8mZSbG9ehDtGjKFWzM2zWMMEdI2zk6DJEQwBMVfZoYH3dLMJB3sZr9PEvAIdaq
20Doz5vLMXLkzpipDJoy0LPBUFc3AJDPGpOZI48V6LR52ICDcrZavN2su6IR6IYLOSQu2MEhgs9K
QgwWltyEBluvh3mHJl9kArww5POEomBw812opb7lgW/SklAukx1ACPm82mQBdbwM+JSgAZL3kapT
nvcowO8n71rxzmmUDjlqatfkccsy4Cjt1NQlDnQB8gpyycPWQwHIt1jKuGoNALsyJH1TbZPF93AK
nA7YSC9LE8rf17keqoDNtlgX6l4T7Bbmxi6DkmU3mfQyU7VovBylExqCBipQH4x3YceCm7Tu2gSY
EHN9rnyW3XheHXx0XdOerCfnB7B6ogADFnzAVIwe4DMkmSsaOgtVJGvUuFKvTsx5p9KFVbpu0g77
rwq7G+EHju6WeKUvHqulPUO5akOIAWPv8k72/muTgXjIe4AY5xGECamSlTo0BVmAqYaJEdpXvS/q
55ZatRY4N1HVoT4v61BN6fW6xfdruEKGDoORndOuD99NoCx4bnT3Gs79+E4t45gj+Q/aI4hKgFLc
YMl36pV7K+GoraxXeKg87pTGeM8M3eX9wLV3VAIPdamaNrlf9DKeFjph1kMl7S10geTgMZK+QDFu
EiwDHn+UwRZWNiLzxSgXHNt5XIJCmHS9VmukBzozQOJJ5jk9zGE9xOWWeSic+iaz+4EGprtgWrYp
FcStUmGpR8UUUl2hfPFvBjfWYANX/13NnH2XscXP5awJRidpW/Vpx34HVkzKiEbLmxTl/t6PmP9x
BIH+juBbaO5ZXDgg/+8wc5PeWZj8e2kWPHWp/gBAeXmQmjiWp8tIfDwH20PGvRYVjR/1e5wHakCb
MYdlmgBOwXffrlOg3gqIHWVq0ahMmCneclv744uXdtGTqMOoLyKo+kcpBx9WGEjLNgw/OQ31X1Wt
hB6kPuKAantTwgPHFNM7dLRjLy8qmseI3i+inrDLz2l6ZZPUhPlnQALWiX6C1wDDcbyPHFAat18D
zGoEZTgSu9RHoutebEeA3G55wxq70k90iMb2IMa0X6KCRYosXpkaGq0Km1cLmgWeFvgIkflNTEqA
d/6GsjElrilUGytij9pZqJh5HFi6i6JhTd/Hw7BgU5lk29kO+xitCS1R54FTKD0Xcw6gJQJjBRwZ
ZTyoKodZaDw0wNgjChS0luMXMnkumUsYmgD1qlmurq3hWDa8BS0kObtC5FiDE2wQLvhGpkcTpgta
mCa0sVIvY7oyI0oYsSn6PowMNVachRhnPZbzioQ5vyIy1PP0Ubeb8V2OnyIbV6xjhJIs32SNneHA
MCYpsgKK9fWTRDEnWbevuTXJ9FZ7fAto3rC0xf8DC5/E9sZbZjTMN8LNrIsLS7I0Mbt/Y8/9PCAC
8w8D1BlmZa9pUVlMf502Ggh6DmFl9okITJF8d72DuKWwn1TYc9Cea2qGviB9pIIkT1SHQaS8g48y
F0s42OSN+Gp0/f37+tntxdtC4kKMcVUEXcE8hFf0s2fYUIfRJN4kn9tRXmeb+m/gR99mHRaiN8Iu
+zdG5c+e/PUVMcaNq3GdHYble40Y+JHJgGiYLgTzEl/6b69ovlE1IR0UrPk5qSMNCM4Q62HkoxEw
K7/diu/5CQ/fHNFvOQCfRonJGl5/D3b9xx//53ns8e/XuNE///K/rymzf3zH/9z9ESj7t1+1/zJe
s3PmX7/o+m7+8bPwZr6/u2uGwk9/+Eucw78IbPiWT/sv/udPaQ4/pYz8mOYQYpQCt/cfLMBf8hye
riEL/1V+aMcFHv6fcQ7fv/F7oEMW/xbh1mHW+s/Yhm+BDh6gj99gHgIDodexdOh8/0h0iOhvGQaU
sfGFoHLCBOsQhvI10wGZnShdADfF2PgxGYpv+uNj/nQvEWLx/c8/ZjrgefrZ3scAuI9BOoIhXz9D
Fepf198PzE9GZgy6ohdGEeqbx5RGfYV5EXT+3dZWiUSJie44uIRdbPbpGKEzMC47Yq3WJW/H9Rlm
Zo95T4xBYk4sPbQNwc7ChBiKYYRTmsRDXbULv3AZHqJ2AbkaQSLFHvqy6vZhDaIlb1eeFl4b1Lkf
CxTzc5TlWT90+Ry1OKCnqAuelgHllpRBUmwh78/RaubnIcxAniVLVAKS7j4TGDguDd+gIfs9lAuq
YqYfXeaWixhjup9WGkFmFLq/gGrTp1Gm041LavQAduoxQBFuTQn+0t66NU6OPQygSkBWPkWKZbtl
1iEa9XGLS47LeVaxF6BAh19bGiAgfZ7Y6WqnksEdNqIINt6r3UAnektUeui64CKJj3YHsxl3fYsj
nUE6FTbT+XU0sWrr1gHqT9luIbIvsGDGKh18BSGvXfNmnQCRQsrEzepvtiVqdwn1klMvRFywkfW5
jhK5swG3w8EOoQ94cba8alEOT3SYytXVL5nzgzdrT+OjjRLzOvjw0+p5ykriQpROElULqbqxbiA3
AuvxyY0BSrg9DSpsW10165h6n3Da+cmWj532tp2OUQHmehjnrSB0hA7jRcu0wG8R7oIZv/SccTBF
1ZpOoc2VM9O674NZHbCJWrThA8zBxo+Se9sPy8VLFrLkrvH6esmhGIdoWnlDb5NWkUJctfLKazcP
uL/JwJcL1A5nD6KJ9EpokpZv+1GqTam7UXQYLkDjMaaoV3L8INSrBZSdYRtOCRuWWL2OAaMXtUnw
uVAbx8YTbY5CUYn1kS1tvx/AKif8Pkw2Y9YdPFKit320SbVcMlhHLn6D02UmTx6A/BQjIZnogJ8G
vNc22BFMP9oGbyCGAWbv0Hk6Oe2mmQ268Dvivx1TaR8xsbn1uRPDhG4DDCw6Eo/bsvFpduUV5jmr
GoyMvNQtbdoy2ND450vcAwbxwZZhNn36TDcMUpfjFLDL0NWeLLCTTDIXLcRNBoC+P2NKPfCLXjpy
v5k1NrvOS1ZW6Kkeh9xfhuHk0P8exqHzKnh+IcfQhnZPigEtzUNP2bdt02Uwi6c4fD/VUVB2vOf3
VxfzPgZZXS1GwkMBNLju8QbIHRhTWvXwJio7dNuhcYN8iIF0v2QWfmeeTMgZySN0C10OQ18dAyHY
sYbxeUxl4q05fGSc43yxtPQ9f9ngbw0JbvnWguWg4eJyH5p9BRpiuWiTDA9TKvk+maIcoyr0HkIg
f2adtDcQ51G5TChgXr/u8v9/IP6zCLsfzrUgxBnxdwfin6HOfx6G37/p+2GIoKKUwiJM0siHUImn
7490Iy9BQGhMAiAPSXzlbWPAqd/jjXAYXukX8Ilx4l+B0ODP05D8hoCr8DpyCywfHTn9T07Dn6s7
inMV1XdCQ8yR0gzU7S8sn2/iyRDCxyMkdWD77cDpfahWecZ8YVr+cGn+ycl7pTt/oM++vhZYS4Jr
kWFm89dK0swEImTqD8cE3et5M84/Cx1mLw5X4Haatqz6+9e7Vqa/vB6GYjGGjmIy+GvkifKQ6iRT
gtfrIeODGUfKSi7s5p8XG4VHFAFxWEE38jEn2QTPf//iPxexXy8syEWEIgGzS64ZOD8XGZNHZjti
Ezhualk+910P+7eDYHLr/M1eLNuyFxaQf/eR/8klprhaQJmRhYR5MyybH0ubZV6EWtOkP6retw9t
Vy+f0TE0G0QgZR84cf/xC8Y+FileDqsX6Wy/5nWIK8yF4y071B4bb5JUpqWrlwwNeui9x3hW/G0n
+pb7/0/W0Nfi7KebmiAFLk6hRYF6zYL0l+bAzT7ZOLuiVaOd2lzHbA7ut20iBooW4hEK6Hs+RJEh
upLM/mUydHgZMPu5FnXcbsOVvUguiwsCDQORajAjsp5vYWjady5I/80qwHjCr4swoYgLwbMf4W7i
Yf/l/Q49wjZEv+gDxUkTPXt9QNnNzDuCibJxSksgkv56Anbiuis0QP1nPIPu4kGtOYDRjONTMyN6
oYc19YGDYorzOr4mOSHwBYkNYIfO4OT6+gSOs8NYhjL+uQ9g4cFKpJtf6mDmAhZ7A4TNBVu6k9T6
Z0g6nqp0QsYbZJDZi7/E9oE1GbizTZmRfkwhrzkMIG7WVEDkA3GjQmofYuwScQkqus0Oghjvrejq
DPj4VVY/KiZQAEHucR4f8wDwqP8Fq9Q2PPebRti7JcpM9GgHt94OpO7gsFOofiaLogClDTYC5Xo8
p9bM9sFbF/uQtRNAH8sm+apFIF83RcJjjKGuqbDGyNe0D80DmWfk6mTThu3LwrGohK/oByAc9jKq
zg/y3jD5GtaLvXiT5z/TRadlszX0A+JnguE4uMy+xlCudBFHPnC8mVF70ZHCJ5VthMG5bsYLgvdk
LwF8K1XqdKUfOo3rmG4G101F/rPOcNO2dMpe1mmjH2IvtpeGo54BF0PDnRubJS0y69UynzGqd/m2
VmvBQ13UYbPqu6a18+dOjF6TRxQfNnAIqNjPK/JkIMFBJjllCWv6I0aFpn6BLpOlulqADr6tYQi+
pBL7ablgKthWvYuwTswQRx/GOZWvNYfuzac+u82cyl5kBwcwj4YGKwNTHl4RgaC5URDDMIAqR/ug
tZNraWLMocDumeWrtQJzeHxsN4yMIfaI52BUQrhdApQbgER81hX6Yp7yUR2+Xv/ILhQMSBrBBUsg
b6dePRcTwoXOX78G/ddQ9I4I7BtbffDwWR/rZDHlyrNsBwceC7i+Ph4x5nrlASQcYzeQx4kszLyC
Cp5sml1CoOMKcSgQESDzdikR5wWgkaR52mOO8EnGA4GkykbLUAUK4nKG+i7Mh67xyXH1l8RYzI16
Q32awet4e0cQHFJOSMdhF4h4tMtrsA0yH2pkdNwGGCB6xQje+tkAtTHFKuateVidF6xvZ1z+ej8P
g9nPAbJL8o20Y+4BaAZBgXEehClQXOf5WYasxhilg7A3ZA6pF12BHBd7xGRntIMdFp4pyOACJfiB
Zc7eLHy0zzHGX4taMqjmGKs+R4C7Cugg/ruZBFMpkYCQL876915cL5e1nmaeL8zQ9+iasgjra14R
Kpg19saAlT5E6cjRPpFgBJIwbudUaf4Zipt/jiHtnoamjs+SDBmDaxq5W9S5PW649eDHbOCF9oPc
ls9ZA62yBD3CmxKLOztFDGERJZxpoON+krCXcEA4ACra6A2ixrwCgUkfBh8olOgIjQ4ThhcNvjDE
ooP1iCXlWjp/rn38Ice+bC845rCWAzbUzSH2GE7pTTV7Ny/ylfpL9tK7Gp5pwtOeYoTY2Mtma/Zi
YUWfZeTLVzdfBTwEknywY8pfBI2xYY5B+yxgvb4VCvkkmG2jiLUhUBsbTAOgHs/APWQZg0O7puNz
DCl+a8RQYtQq4js/7FN6olDcsrfbLP33vfK87bhBkEqPISTycC18OdtdCG+tPcVBGH7cuKFxBUv6
9CcupmZRHzGb+5zU9fR/QcaQCJE8YaagTcC0rEcaas+UIYy/4kd2bAiGewsmRO8wGIdMqp8hssgF
E9CWLqLfIbIh8aKPIO3w9RInlnqD5ICAfczStUFPjpGocbelI3q8gLc6gpfUerd912hcup7JfMOg
wDuXpOOhiYb0PqlDUgo8VXvguaotHHyaVwRgoBaRC01vw7XxitY3uK0IHlBV00H/r4BqcXVW6eyO
LhTpGaw+jgWgN1CYu3j+TDqR3VKGqAl0mhsWzaSxUmZO0hITatelpPkAmaYe/TO0JuylU4yRy1xk
+DkGVNc+Xursdl5xa4oOATqwp7TAe0pSDGc3MsJf1O2AJWhDnt3GncS0AQ9a7PcAbQ6uNtgHDeXz
vAc5nN4COkQ6HGh7NOc4THp0o6l9gFCPZ4muU7dPHM5xRJo2+5Bt0YfNCWz4X7fApNYgIDDgeF36
K+nqByR4wh2DOx/drlqTPcbPN4MW3Zs/DyHwsdwPFU7+YJvoh6TD+ThDGF3LnjadKhHQ0NVlB2QZ
FYNDX7P/9rZ8BAx2+6kWqCSY5+H4SsBo30ydUgfjtH1YDGrfHm5g5W/d4E7BGsQDUF/XR/YOU+ZB
WBCVja9rMMn6PqAG77rpJT7raja85KAal1wiWK8zTosYM9s9MhT41MIiSIlBJgK3UXzSLajSAoyM
e2LeSF/RP2NjdcoTt6tUFqMV/xQbjDake2JfBJPSjR45SV17vyNfKAOsuWY2x3tGldOg13oJ7Ipl
kXYKJ/mULf4z7DIcT1zZod0pcHEb3klzvaKwbgChU4djXcuU4sBU2Kqe2PWOCgGqedM9VlwHkO+M
7AV0DUtwVbhKOssreJRSRl58z8F7wnVCafkEH8LTTybGrK8smrXmdXrpWgRD4KiSAAfhDvPJNTvX
Nh73gcmhWuZ7hNVR0OsoNzqCsJ4GuG5bsK5vSkyQguiJAe0BA0ENkgQ1ObXwU8/ACkwBrQdxkRAk
Sguh9dSJTd7h9k+XMcXO0prae2e9rDl5oONAeNc4epBsdeBB7AOmTLxdp1eKzzHF5UDgfpMkAyk0
swJjR488xZYeKq53PuE+3DkfFqm103FETgNkis6/DJikGHOUISqHzd4gpQEVCYSa9nfkIdBdakZ2
yLaxh3U8GXBw47wW2BV+H9T0u9e5+8xG6xHrGoUBEMD7bJHknvbOlIb0RTy7/mA1xcwQuKYnC+Ji
J3CIlmKqAR9hMDMiS3RnAz084m7jXB5sd8LJ1++jvvVABoRLkfZxxbPuTrdgIkNcqnviJH8jvVi/
qjEIz6PpIT+FnKCAtNO+yzoMxRv4vv4FlR9sZTilv9OY0VMIt79pYGNnAizZAPeXpQdPbF8gEOGG
RDCMECRKAYxjXpF0GE52npGFhxN4zp021x2kJtghcF5hN1zEeKOnwDuCRZ3k3dx2WKR9jd2miRVW
5GYY7j2zXT0/uBYZrYVB2V3+fXd67Tp+6qKuMmCCgcEkgKKOIImf+0TI2yLDiScPEsobin4DNzFX
18L371/nL91PigRlCBU+RduPSbdrv/qj1I5sWS3GRR66ARBerpPEf55m5cF0w+jXTXwlw05ft8O/
f92/tP54XaD8FNOJMBfRKf78umjJu1CMVh6s6OIPi4fwq362nd2tCIJV1dgP7hLHNfbiyVyr3L9/
9Z+HitH74x84C4iPRpAlDIZfPrWbBdQT8J0HJAuhAQHlHDwj1HW8EcmM3X7hEv8lUqEtuVbeiPzD
5v71Lfy/YvdvFLswDq7Jev/awnr7ZV7+66VRvPnhF4tcw76/f+cfsl3yG+yp+Jr6CLMIOWv4od89
rDT4LaborhAzmPkYng6gqf0h2xH8SiAC8zKF1PezbIffhuJDYCPQhBDEG8Dq/U9kO+iDvz7BIZTB
NILg4COyC+f5zyucO8ThDYLXx7lP9M0IKAp9TSDnGyS9RWUXLah6Wh36F5SuYDI5Sn1w3GA8/fWA
OVYPDDbTyU4tmXrKUnwNOpHspUkXGOFXPhoYdjbejJYiTDXuMcpj25oeZ7YlaqeFZltBvWiNc/x2
C0RYRMgDKU3mWnC9vT1MLDoNKUY34YBwhRYr5W/8YUZHYahiRRaLd9m6vvhzx2IkTc7uzQa5u8BH
crvGeKQEUa8fEfTgn/C7KxswG8O8Vgu4PlNsHpsuSEFsbvEtviwVuWKVo/fYMCnmska61kGF03i3
rW4AvxmSt3BIzI0IiXtm0qEZV3P9EGSAqvMMoyY5tv4Ws7B93MCJEB0iU6kZ8np1/ROvMZceYEin
wPhGUyZk8m+ATLwZ25FeXSxzl0YO5123FGBnR2BTo4GM00TLU4v4igc2+uEji0Ji8zGGTrBDpDs+
cZd6G44+luXgCKIqkMbPYzd1Jd5zW4YzmA0wjX0OZDTBURC+xeCVPPhNfZugbN/7ur7n0B6QlIW5
n65MYA8UEV0jdLZ8i24XD3FA+TzEMJXiDUBlvxyydVjeRIjOEuDSNr/yTIAICeFCHO7zQHE/qL7d
0uCwCPLagEAoNT5L1bLlhQ2OnLJVvXEtaNAMht97zNm4k1/LJO8dbFHauor7Cy0RJ8wvczSEw3WK
qUPIVT+du6Hucak75OzlElF69xwjBw+IIGOlV8OWY4ibeUT9KirKMcnlNvllQUCUywe3xRWbGv6w
odc+WSgMClNLRZj69hahuAyKasxKPXjs0Q+XdyAGh4LCTDnWsWL8Zl1IZx4RIjFOHxTn83uyTvr3
RmCOLO4lvRF8Cp/aOBIl8sj0LZ3nKQZY0OOSrQh0vtMBeb/aSJ89GXhVsJIvEBjfJ+s6zkUPj/Fo
RKSR+hKSe9clPoBl5dLXlNf6ecP0LVAo1lXxxDpdbL3W/YFEyJHdsRjeE2KZ1vV9zbeRlD40S1nN
HrBhgIjKz9F2B4ifWvoKEduGPJpxQ+wqslhvgU8jrND6jj0aGTys1H9FitcrUVAzSZhVKgEcd8ji
RmZFlNST2ht4d3uC0u8tZekzZ/ILhvkYBtcw9FIpTAkeaGdMel93wKSHLG0KUcfBgWPPueAn8P9l
70y249TSrftEeFBsNtANiDpUy5bsDkO2bOpyUz/9ncjHN21n/sf3/O3sZDYy5ZAC2HzFWnNtHEvF
16pJznByxyPmvkJxM6/yRITBo3mlPLVEezec2sjveacViVb3920HABmA7i7V+vAWGAxogCarcTtZ
Q6ColHe97u1nYVGvotRp7kzsYMWhDw2Wiuzj0nNm6Wm2TVTNWnyiPr5SthVuHauKj3ERGtum7saN
dDQtMGrpPom2QPTVLedSd7RD1Kl4n7nMVENGJjs7nFHM6/O4Q025Oh3z7HmCdRMUaTOe3cTZCdbM
mzqcDRzFLOE3WZvad3FVZNtaZsNG4h73mXsKP8XVfkoziyVk3+MOFLQ9A0bUq3GwR76BdFkeG0Yc
R7tz26sJ4dWHMQriPj/3ehYFTBPxcCZR5QKYsgpwF2eJvs0E3xVUWLuP0xIuW5hG9Tm39erKyNE8
b2yhTTThrD1pQnrbco4ZRSEnVdvcwYKxHl3bjX0pGb/HtoFxYq4XME10GQDw8iz7uKSs3cXkjGdb
GOtAePhEfwKLcujjaWM7Hi5R8BKbaRmu8yWavyGYHfhfHWcX2xFmXyep+/0Uqi+AgVGjOTEb0liW
RlCZen8MixnHUBW2F+wgn3ixyN3Y5cOhXBq8LXlYIQ7vUGpLvyiS7otZ8rbZOsJRF3TO3m6IjIeI
JdkBQK9+TnQHtX/ppvvc0bDrLe1BscfZGLxgt6WDowy03HAw21I/6iDL/NDL4qMcxbRlFaOfMSzA
hV/tc6rWzUvvGN55Kp1ki2zvPpTL7DsqcvZj7SkXpXXyrU/mvkK77ApUmZy9o4EKEopCc2xw4Syb
NMqAF07WbWtUZHtM5uzbPKJX+KOT60SfMJHkjFHnJfMCm732ic4y3I19c54KrKQ6mttXkPkgP4t6
3KZ5Xl86y4o2Sy/iY7t4n12vK46R3b42XtRv+2z8XBSi3+rGbGz7nteN0cZHF0P6oR9zKyhC93ow
wnss0RYNIYYStx/sO2Spxa7V1HU0p/c94KO7MU5vJ77XUzjZ1Pd6fh05xbKbZObxasS0qm/koOTO
XlQbMCuMSiZpPb59Mc3vRTbPm7Hne71H4B7J05KC5ruaFevCrcmbs92YyURr2+n4eOKNGKsZdl7p
Lvo2Rnm/PBSJ7mnP4GGnOUgcx12CxEbfx7SvRFCBASnPEeYDq5rpQ5IH22llGmCDpZShLRLg2wyE
MxUbrw0787RajZ/F17mCgkwywNJgEzG1OKiZ5T1ZdT89FeghT3RYBh1WqfbNzBoBUxOETd+YMzgL
Mhs5+vOS72CIO+zSOuqeghPTzTT5MqduGiBKStmmeL21sU2nuHeXPjlBdFUBS9St43jjjj0RA1Oz
1/aqG+1bNbvNDsGHwdwP1CMeP47XDKZeC9aOrIlYj6IPyGaw7DNXQwufKYqOwoJi3C5iQG1k92DM
e2Pc8HZbwOuJ2jq3dV/E285sa0NtEL577oY3l76zFe+2jTvHbsoMuE82C2u+E3uxMgoWVw39UY/n
/pzHmXbUmkZS+IXEKGx0mKI3oOIk7PhuaZJdZjcePkVvwUdp9QBvUTB8VAD7jGBK9fTOxTl0n3rp
iIRcogutDM/eqyScdq2ry8NixHhVmgyCyEafWwefTjt3T8A8vSBUnnGB7MpkNufiPy9WInZS2Xsg
YD3WlAXTyMYtMYw3xAj4qrKGQ4TDATVNAkPUgtCHrVgyjKMCanK/kKZ7FInQnzAOp35UM7Two95y
Mxz/ohy4XTqdCXPXPXN4L1uLL+lcecDXnAyXJivFYsMVDUG0QYucNh4ol+1IazozMLQxYHQSg5HA
AHJT4nwyfJnFLFfs+Kq2RzD4Y9ExknPsIzE3NZZr8Fl3Km/7bAtkJ9+LUrZbIB3WyUV5OgQsH+fX
CTDAJ2buyXukM845FAigfdQtzkUhQJMBdrjIu8IsZWFrcJ67wlJPc0hjKCNboFlZIh/prX5szXlB
BYXs6aNVi2H02egAM8dLwLvE9K6INZm/mrhe/Q4c6wvnaXICZ2Zs50bIZwjDavaztnDCnYbU3g06
fTGZ4hTtDhCGdd9DYNnaEvtJNTvZNhOJt/emot+ChhnO0HzH61lF4z1SU4Y9+JMgysLDAAMTv+Dn
nBo8NJXYGUnVyU3NqHfbmEPnFxUjPSvsmi07CbkzB915NUtzutQqYePQLPVDPRIC4nOep9+qzlCP
XqlDwDD0PApsMNKnao7CExkx+knHpA6z1m7OehPJO2vpRp9tfnVkKscHrFAm9q/1di4dg9pfl1vb
Dnu/croYBEFelLtR1vY+hTNxnHRq8drLx0e2g9ZO09ttBw7gJola2PdpMVxDnTPPHBJDwAPIw+IM
MCQYlZJS0yZ+rDU11tdUbmdhFAiYhrnZVJB9qRhEeq4TahSYWg0FVJd/iTNpLwcHK+M2aXr5beiq
8RVBE77DOvemq8E0J2s3Yg7Y/bf/f8s1+2P/D0npb/v/5LfU3e+9/9tP/dX7u/IdB5hp0/jbq1bl
X4Fk8HbfMdBit4pU1RXOL/pV5x14M2Y16C9WlpPFr/GTgBWhDjg7iQrAZXTwj3r/Xzp/hNiwCVfy
uSAeh+nd7zM1wGoYa+1YnulrWgJFEHrYRtkelnlmxN21yv4Df2sdJfxrWPj9AxmG6Ih2bN0lXOHX
UUPGX12bdWGfLRsUgjGMxCZ4bA4kA+RDxJvnD0y+X0cbf32ekHxf6JwITfhtOOmlkpaGbI6zU8Xy
JfX4ACtNjUdlD8n+p2v/H+Qkv84J3z6KS821Rrmig8P47U9rY0b1fWaIc1aw00+ctD3YHWFl7Fkj
ZEILKh0nS43r/8No9D/8ld810qDN4Nf/PsAZG04OXWvFWZmpOJYuTDW2xCWKEADqfwwK+tVc8PaH
cgeid6aIh/u1PiM/D2JhNjAnmhJxxi3NBzn1umbFyIoKY+gcXrSlldbxCVGpgsnUAlZ4RgzBemdC
WOrrFOz/CCK3/kLMwlbBmWs4hC39nqyHAhOjXBSK83clhFc0yR6vLv/x//dZBi8Ty+AW5sb57YaK
GP3k8TwLRNssh3vBQo3eGpHHKir5+xtq/R5/fVYQqAvmcjacQ1e3fxNgJV3N9qDqxXkI42/KRADS
m4X2h/nyv986fIg0CTnkvzmlfruYOmMHpzNzcV6wXJ1TF2cNgx46EGPJmLL//V/0G7Tx+5VCKWdg
phF8hb/L9tzQMshdMaxzaiZZESAtrs5GqK16tlYhwkFo9CLkzEOKr+se9Zd1BJ1gHf/wa/z7HSx1
BmUI9nlUUfWtj/JPq4SQ+JEwlJk4T4jHT1ZWMrlrQs+91JriDsVWDts1M1kBzgC4kcKsD69NubHn
BGkPf//b/KcrIPChEa7HlWbT8Osvk+Xomoqs5uFdxTy6DoJhLPvqLGoy4/75R7HFQESKjJD8mN/u
qKl226p1GuucQPm4B1zPI6vlE0e9K7kSf/9hvx71HN9CoFJzVskVH/dvt28dd1XOql87hWhzgC/B
ZvlYWjnSq5G99oD30/3DvbwaTH56YtaPJOOHoEJm7esF/l1BWGeIE0CteCfAEskefyjLIdWq6V6O
GroiFXJdLfKJbml4zMc3TVUxdWgNtZLlNxlazWFpeP29nSAIXnC8zpiRl02ItIjVsFH96Uuy316x
/3rKbV78ziq8tVfNI3uD39dnpTulYqKBO6lcL3aEFi67KpEajHgF+AFo+QxXKM/TFgxfldaz3Br8
Y3cti68C+j4kCmayIRcSfGL3urDTfQUzx63rxcu64Se1LQ5Wm/awsY2RnoBWQbw0hMnc57JpD3rK
j0Gps9A48nOBSk3rOJqwjzrGrmc3EtapTfkCEdWk822U5Mj9sDJ7H7ol1lIf0V5j4OK2+afREbWI
CDzUkX7eJqA3oj6x5D4vGz4Dd+RZwvK6xaih6xsxIDgDhVvD9I4r7pDvShsq7WWvoWmVpxHxwxmA
SoEkoTVQVr2JUDMwxpAmWFCcyC2d7yF+ovEzO23YLCzDkk8Gdn9UGIsladhGTH4fmrzi3oOu8ZJB
h2A5wEz6ZTY89arAnfGGHgb7BQK5+aVeQrxxjdPct5IlsD0SwACiDG8G5y/WnNGzeaEySzEeNRYD
Zzhj7oVVu+Zbk+AbDVH2zcJM9iHM9lekAG6AEd547AAxI3waQ+deqWj5YA4IlGpv1dYVEskdcCX1
mmHMMzcSk8t2UfB1fHeV2PW4zuQGd7F1REzEv1Kks/G4dHxvgslM8/2NCtwWQaYinYcNDSD5NVCt
Y0/sONzZ5AyAF2NRuTineC1MNCh/31V8GASne2Kr5LSF2YFOkSbUuCbehruGqSnqEEnyDj6LtGb8
Ua2YvkEPEYbU63mp4XJEWCgG5CkmOJXGJ5sgAwK1Ck1kFfP8VXo0R9s3dWmsFau6xC7QL4YVqROB
MwveN10WsjiG5MK9PKSa90HpIf+su6orGWwigjGAtGxIYVrTNiEFmJsOz6/l11a0XC0OQ0b81YX9
MlTIWWTceyYbixbGFyFO7QOkLvOwLGPkBGYkxadyGMpHd0nmK/ybecCkvDI2qZYbLq2n3p6SHN8p
eBA+RuUThvByqfpAV6F8zMmhIudBumW2cbDpXLs6Q8JCEOSHTd3zVlc3I3XWWf5cLvNjRgTgtq/i
uj4xLEiojJgGoOdT5V1XKxQ6adgXXyu85d9csVRHpkT9NYbOvvRn+COMxTNOJn/JObjoUpFHYHiv
n2WetWqn7Fl+mRbHCFCclJdKIVDcrYRYYk76OgnwxJT7oeqra481xQgIT8WfIlIONg5r9KuZZnrf
lDNiyLlzmj3GZ/kRjVJHM18vnyQrsxM2ZHYn0yiWT2XeZPTC5uIrRppt4Ib24GfZWH5K2U51kE9i
FWTQTPZrMcoEZ2qUGbRtoW0bakAM5SAfC9fs1oOJbEggF/cIebQjtn2QpG2sdrPdz1/hEozbWEs0
zGdV8Zxkg/ABdHWbulwRPWgLN4wPXvCt8XwkixaAvY39fmiNHXAd/iFXuxZTrHP8WyHW9ay1mEKt
S/yq87N15WFvWma7MJW48vV4odJ1DxgxZjsoUcCxQwz5IAEuLhA9S1GX5A8/ZwcQACBjdVNU/fs6
k6AOSEzZ9eyr/DLWv+SOqp69HHF04hnTTmmhRSAFvwd28+KOt9KSceGX+CJFQ6xepHNFnchML5Xj
lbd618OJUeyqfE1Skb3MmNSvNTPlkVCrinhb1R3SaUlWAZMsa0LdwWnbwYtYBdrV4hmPs75wy+rd
gMyNpMZo6/YMfYDUxxOgBGDUiPOcEKUi6Q7Vx9AQ0y14WM1/05V1rF5cliU2wtAc/P/5u+BZNyaU
w1nScQS9SdHeRL3aRB+FkJYSTrI4fRxqsRLKYrs5iEmk08E2svpjjTiYX80Z1vVxXuYfzaqJqOdQ
WyE/q1bJKLlOdfGJOaFbf5vrQSBodmAg5E6n4BGJ8StisiaCXaHZT54MvWMbe+oAYY4ZcQl2i40Z
dIPPACpeUnhGW1ska9LBzPHxnLM30x6Spa6sA5lpjLlbBDASLMM2HsfmkGpy2cGjq98vXgQDDw/x
+J6dcnEvo/qbmS/PE1r8m6wzuwPnqkP4n9dCFOhr8zVChvq6JMn4EIHkqm954tNtg/LUA9TpjLD1
4mR1JOKqPkk7UZBYSZwDj4D4lBFazxTs0HmTfhZNNV81iuGZBBSNObvIeva3XAXYXcwTPmglxrvt
ZHT51dS24mYhAfamMUR/XyQuKUeVwRplAOXCINb6XHlyAIlXM5azQzNB2u9aOHFi5lFjvxCzUjQ5
xwUkxCAtXHGax+FzWGvjw9hF2Z3R9/oVDmf7UwbLkrQEFPkrlNVA+jhb0bUn5uSqZdd10rzRwz0w
ROrFTMb6DNPa25aJ3Z+RCGnhRnSqaPcGR95Oo5gdAsiHZkhAUegww85L61FmdU3kEAbJOonDiz73
y10X62R6DdH4sc+7hp2FUiI5Qa+bbN8FHociL4Syfy0nfaz3XtyrA12udklBA74nUMgkwQJ8cblO
enWyQbh5rkfe8N+MoVFXfV0P+4kX4blMVZEHtReHbB8N2ouYw22fwXxAdUhlAb1mcIa7yIR+uinT
EHGh4sj7mE0EZrZzbl+mxOQYRQXgdQD+h3IMzKLtQxax4DY7+EAwCrzGcLdu7ggORGP8WpmyD3ee
1iy7qI7EUQhoxviCl4PqneReAap+3xuz+uDms9gOBLj4S7pqGTEGbYQex+tCLXXIdhmdxDcAar8C
SOU91JEu7YfakOQBwDQq64U+BfOgA76pCpMbU3em93o7alc2uKRok1iNtXM1CyRNiS591yjHho5m
Jp7a99y730Jy4p9q1+q+oDlyXkdJyPROhxGlfJWT6+ITkgoGiIzc6tuyjv+Jjlvm/uB09TcoDdGt
SgvMvEuiupM1TjHwzgoTbTwlDWAZp21Xdkx7o+VjujXXhOCAsDDvFC3zNIE3rZx4Y/eic88ZUA08
sc7wHMsZIbsTLemN7oSODtepzG9KLwedySRYu4s1i6tGqK0hDizG8qlHvd1MofivFuq72/APs1BT
MOz5qf/7Nzv/Tfs1qsqfjfx//chfg1Ac8u/wdQGZNnnF0h/Qu/0w8pvinU1XCjocixtSNzRwP0RQ
8p3JhJSfw3gHLcikef4xCDXeMdMTDEfJYidhW/9HIijL/K1dxSewShgZ0+qmxbTF/L0NV/2Sjb2X
3KYZUUGebxk6C4k2ykgMC2sh7kh3atW+yvWy3YWhxwZrM0JI9LNwqMbpurFAQlGaYCRDqZ5xoscu
2dbTk41xI9NZA7WIAoYyO0RLqY+3Xd7or4Vej/T7jioTFyhdzGbaZIvC262Kzcwd9pUnKJ7JRMCs
XhrfLBTpHJGKtENt1RpOuKdPTiYaHrFo8afOye9tOp49WpAlsLxcvwEcByGdwrMn1RFvFVVIXrfg
SyyhvQcg/9mdJGpTXmBUp55zLeMhOSbLkl4mFjhHZ7D7T2Pam1uh15z5bSnj+9Zxs5jt5jSjxiA3
J6jNsWi3Vs1fzP546WBgNnkd4ICIz02YAesDSd9Fo/ycjEP3Hs1GnF7bPLiBSmrnJml1hMlzMsWJ
n8uZrCrcDLhavAkqrdK7ZH5w7A4HCFdifg5nzNea7g0AC6YwegA6gvpJkWmJNYBf/5gQ+Xtexml6
Rmxr2HspJv0Yldaw9SRHj08cVmHsnE6uipTEqp/mdoLWTUyS8hFRFSdNlbyJNNute5/oAvfGzUYH
alUuuCXSJTHxikyxWoIUnU8bUBzMH1lDNvKWvwR6JWy7YgpgYuFH13trS2VOn6el8TdAKzgToiQ7
IOwi6zOCz2o3SR/QJDh3zSLA/ZYx2g7iW6o74BDtaa7gk+pFY9zBZh23kPJQ3wtnplhobfmK9IAl
Kw8N0aoGkNN4rooYCzhxjCQTl1p9EZGezld62aOFOJnY0Nzap41VrrvlixA1GJYYm7nIcLUflzIx
BAveZGaBHzMSgVBQKFwEIVOyhLxRhnpQYw1hkVe08O3dUcys2B1jcB6Q8ic0ddrk1R8wOTjNBia9
jouT2g3JABIY2uRpZfaY6KtOhM62GCPqKH4tGmdGGJeThr0hUbrQLoPNfAYi+gTaVHOTy1B28VmG
5fhCvS9rwFNjv53xDszHKZqRpSuAc1A2Cd2LD8xFzOqAeDI3CLCaO8MfYTx3B53lJUF1SXKbTJhn
/bgZwE9WbVjwZIeuQ3hyPSfwktIKpHId1sNwgb/WQ2vV6DcqOAZWUA/FYPg6eR7IObTSi27xhiXK
b4u+cK4mIlOuc2WvoVpOH8QR6jPuOKENfuqgqYEgkFxrVZUPu4G2l3edocuW/as7PptUiuRKTk10
ErrChNSly53Xa1+0xSt5phgHT75L32lfd8Byll3XxPRrUT9Xz1NY6YJdfh8/goE3qz35Bi0odX31
oXgauKUDJ9H8IIi+ZNsJNRkLBWANpjN6bI5HJ6UQsqq6/TZis7J7/AsW3SxBiZk51Icxg06FL3Oe
ArfWDMbfCloB0T538Jx4HsEgpRA/Ik4zu0fbns1NCqrWck+p5iJEdJnATZfJGJm2WaDjAj4p27tu
qLa5EUGnTbhWFaXRkgJrENadBnRh2Fnk4QXSS81zJUtva7mMB7ZaQuYuQ43JeKwXKHe6lZtc50xE
6ee2caC9o5R6T87n8FHpE+y+thKCZw1sU4DY3gKJJgFWIeOjtSTfW21lrKL2zP8BDZ6hAVlEryHr
mQW6u6AqF0qzQbTMuN9rfZMygqCi7WG4mkqCWLFlG1EoDvVw0JrWqrZ0fCOo9gqItbiC+967KBTC
/NGYI+vDMC5Pglu42yRqWodCpW4epDs6d3QKRhB14Rx0Zky6h1dC7SwX+Ca5Rq6sX03jdF+GSlzn
hYkgtmhxo1+NbYVAtVtkunebynpuuuk5mibSLKnbmFoaSZi7mAD1DifOkE79VQE57nqZDXWPbwEI
XcX7K7ozJuw4uGdFPi/zobCcjgmHL1ADhCdgk6N7LdzM+O9u+f9UT5EGZGJw+BttOcd0UkY/F1R/
/cyPgmrFH9ksUyT7ZVY3qz//R0FlGPxPzs/4ox/11MqCoMD5UTKtUvQf9ZS+1lPOCj+BGsZ+wPwn
i+Vfd1esdnWbM80igACbOprydenx84alh9Vsh8143RevkcqDOP/807fxH7atv7lB/u0D1nLupw9o
Jysv6okPcCGhxy4eVO8lGa7B7ENe/fuPeluL/DSiZ61IaUrxaSFrsoX9+4aGB8XIbcaOV6mds8tg
1KdBioId7rlm1tifVDpF7peYF0in73VcztpCECtJLuVJt5CZFK/Vdx5OhEhP95x92Eb6ntFD/zVh
gJgUl77liBFnnc79mCsvJRrBxWOMqUWrwse56QiWSOwTSAbjNkXdnDCQDaFJ+uhgoo1rtTb82UGS
dEdNankdLN2iibOHxjOjgQRldE0O864V4bdJsIIpyKnmqWX4/X6echReYdPDhhrmfNwVdJJWcXbA
EAX2JFHYQDgeP2mVjlFSizBisTQjQNShor4RmlMv57TzYu1hBO8uyq01kNYKTKfL0m4KcR62ifq+
av+vI+UPXRjuDPdvT41jNSLI+Bc/5q8f+OvI8PR3xmryYKfMxul/jwtPvkP9IdkCM+pEnLGuzX6c
F9Y7W2fLTwmN/4if4zn/13mBbcSjVVolAG/ylX9AUuNo+HV3R3iexQ2Dj1mAtsAgbf36QM9F1w0I
a92T3hRAElNVB2NmZveTZWevRTksxzHshOPjZI3AjlLsX1tW0X5EzKbqTego7ZaMQ97GcT0PtwJ1
4IdsMREFNAxFvsRdkkZHkkWa0IcjxbCgAXG+68G1bvHHOR9muxvvkJxbiglPkYenOHXz12GY7cvQ
9O6HeOJNSevUctR0HJ6gvqup8DtrPMYefdJgD/kWbmfTbyhUbEb9hSVfUW3kXxGRs07Il2vAzcNT
lzTiPgu1fsEVUYffQDIXN5H2lnURl8BOk/TjAv38RYTR8DRFUFPNWcXfNMuqKRYiGy56Ozm3tYTj
FUyzpW5TO5pYgxDPgRpRzN8gdGt3VZmigaSbia4HzSR+QNSO3EQoEhMEopa4mHGaEWBB2I3HhL+P
X5Y6Kg/QrtUWY2780WDkN+GPKNw9EyLLQWYq84fZiOOb3u6PNouF6ECeSkSz6bknpAXDXscnZwVL
UcgHbIgL4h5is5zNPMfg3irD7JfVEm1EAUhR73Wmxa792cVo4Mf50J+l13KkhVlz6sMs3abKkMuq
CZR+3kzeuYWFv6H6lSUKzJp6ZK68ZBeSeXI/OMWqH4qrQwYt5zMEGbfzvaTIK18ssn5o8rE7saYG
obCOi6q3yZG2DpGMt3mSu46WOBmZMkU2A6d8HT3JtymU8TaRYsLFdCpcB1Uc/cysooLxVb4OsiA6
tD7iTKZblqybQLzNvOgIulP3NgmT61DMZTqm3uZk+tvMTFvHZ8Se5GJDFmSOY1ws3RdocVI7hKGb
fwj7KT0OFnl3sCJS61iXcnipWVaQNNQO1M/M7ry3MV66TvSMymO4NyXGeLN0gFo+NHoG2+ZuoXmq
cgzZWtftHWNI7kewfbdYUGcjf+XqmiNYh6JN+G4nUcaauuhEq1XJNTypIoSrDeOuMKDdGaIbPo72
KI/uysKLXD4jVA3UP6jRKy9vfEPnocEeykNYGvWOl1fBABXK3kA5hJQd8p4qsoLHew0WqVq/Xvl8
zkrqQx5R0SgzJG86I9yR+MDsD2nKNlkpfxTYmKgB/5kdBEAou85mqsS9LrxDDob/sqy8wHklB04r
Q1C+4QT7aUULDitlsMQ3OcEpIZRAs9l2BmolElormxCcYXdifItBJp2dozV546VfaYbjyjVs7L6n
ki+Wht11Q3DMSkCcjRIYYrJyEWW6svc8dbfEPJgZAlRiSN+vaVhI2rJXBBciwC/PQCdJ1aPWQ/vN
gVv7aiUyJpNtPLRvmEZ3JTZ6Cnaj/kZxXHmO6Up2HFbG4wDs0QL6yMI496NlFTez1UgBQ8qVEFms
rEjqgdJP3wCSk8rdQ7vIAqcdfEkNIPgj6gN0ACt90lk5lGYuIVKaqXkvayiVHE8ZKlTIlbzWi62E
ZwPORKj+yvYyfdtMKWaqwl6emIGIZ6egNogzYs6nOo5PTt85j47D9L8eZY4kOlKcKU7F2bGhCtS+
4FpgQcpYY7nRiTbYUPimt8vA2ZhFtXuoFiEOPRDAC9EPHmh6FU270Fx6vwP97I/KjshSy5rrAgf0
3mkLRsOt+aKTir2BGTLsphBnBST3bltgccp4DMv4bkS2vg0XC3+UjHK+bRN6ZQuo1/O+JIw31rqJ
yGEuQjf5caiVF6jz6iZVLlAWchq3zOqWfdGBddTdugwQShHeoNzimTrKvY2x3s5+xOV/Tl2MfXav
XdvZVN4YQ58EEJj0R9Mz829qFt1Hx4jEg0Pawl3TxNF2Nhp9l9eivxqYlR1TXZBolWcaC1bXzDl0
46R/SIRVndxYWS/0y/PBsprxQphneeXCBTlMmm3cKFQXDP2anqdqnB8io5AuxamRXLME7C66Fw5E
g+ThQY9p5YZUZQGZZxyZeXSD+iE9JKGW3LIzcYi/GFzwCpz5gZV2yBDCLl5OxL5Bzs7S4jox8/B9
XC5jjK/FVp/mBAUXgehDcjHRhR+Uyc6NKdD0GUAVqwurXh6twTIZoqQsC/I8wfCPWOB9E43mZYkJ
alzG1eDIvCblfmvie1v2xgP1qrlbELoE89h0BODOXfxUN7W6tRbAUrGqQrry9bTnjT69xFmTP1ox
7p9NL41pOwL9RxAhFoYtfXdisX7HYI7Upai1DCT9ekOIjbmZ5UhM5TN0qbw8VJPTJk/CBg/T+V0l
e95Eme6mN0sVD4QwESa47Q2cSrM1QDWt9Wl5xa6JnTBDDUG2PJsUgN0IbNo1fSfCMrEfdQIIAR3s
E/CsW25SAI0xfVBflvkdMyYq9NI59ZFWBzj//zKN/7c+/mN97BjUjf/vrvr4+hJXvxbIbz/xo6de
G2cml1ws5IGQqll5/G9P7byjATRswTrijbz4o0T23qHJ83Td/A5eXDWNP0rkdUVBovK6UeDAZIHx
T1pqiurfSuT1X4DiKGnsoStDUP+1RM4MujTbCeW1HQvtGIXl1JxJW8DfqbnIF0COTmaRWeUJqDil
Gtpj2/uMiPVrXC32A/4Vy/axaDxKnpSnzNGSM2XdRLSDCQIffYXkvPbQS1eBRk4Ir7XcjBoi7tiW
v9fLJtSYcb31hplHSzcMeZoydI5J0ABP4+4SIhSOBTol30n7BiTXWucVuQjgN5LZmbAC3qZefwfF
ZIV96GN4ya26vqje7PazHJoTC/bxlRCjTwKJ0KvwlP4xHyuHnjqpP7G60H1hFxLahXqxULTx97rx
zCzebJn3z/F0wMghdlwo7bpMtXAKHNDqMf09RvH2eysMk9koBpxPedfjORvTGy2Ozadhni6it2qm
ZZSkirjY+1mRedBh/gJprz/lduK9n+xpvpnKydrXpvc0TaSYDToZxdZQ3IlUQ/3Qt+Z1WxTtsUd9
QnGdJJeC9dDRlnFyRdTri9dRUfBd11sbM+iZEsPbQ6MZPqvMCY8zYU47CuT8KzSkdrukLtw7iKDk
LqiWgbaZfO17E4PQmEzPtuFitYlobDZN7UYAV3L3k2niJLKddM0mqJ6KpHgCRpxclQSgsVsdcUiT
YbElbYj4lSxxfLsGJLxxSIMkgKIYbAO3vlc8OAugnU2ox/VxvSPfNwPWPtcI8c+jtSbN2uyxksaO
0/Hbk/SJiXIgY3Kw5BzUOe0E2RJGdC8yI7slZmC5CceYIn8RzSW2TE1tsDrafArDUs9hRS7SnDjf
QrOSh1Gq/GLD3L3AIrOueImmO8n74nZsyR8tlSLHyhU5/F0dOEufafU3Dy0KJOhRGPvCScdLu4TJ
YWLFcelCd6k2kxyjVwIRNT+va/sQQ+4FlNTXztlABVBtiAXSr0es6RvZegvO8BLsod/QYWHMV/0H
a5rRrDQWwSaZlTUzcECHYBRSpYmXM23Iwyx3KBJN7wzUaUrxpwokXENTtRi+pkvS8Es5jaxPZKuo
91FL6PCGuXr8reoXSNVu7h2cJJOX1tZe5YKV0iIWC2ttGMmN1Wqjye4/YnlSW/XOSUGGJcOcbYbW
OddhmdySJxnv8sjWPw/SyFccsvxCstxyWiZ2O74cUHqNLYqF1ujGZ6/6H/bOpLttJNvW/+WNH2qh
bwZvQoIESfW9rAmWbEuBHoEu0Pz6+8FV91Zadlkr3/gOMlc2skCiCZw4Z+9v2xYv/dgLaQPGe8I5
ArGt8nE+q2n9w7vxYwoP7I0Sd6iW7ObBXK4pC+vdsmb3uC5sNnK7zWOHXhTcENlBfjEOj07i1Ddp
WpF5m6GIJGtLpGeatOaNA7kSy3PAV3IpQBhyFgG2d29sVkbkzOZEZdFE4xtMtr88EIM1bRQIMvzC
0LiSYOaS9HZ8kZAeee3yJjZiv71P8VneEvV7aJGRXI2Djoph8k7OwGNNIJs5HdO4HA/+6NbXWYnr
3hgNXPFwRec7IuHkBcWieW+aTfaS6kYTaisFYBjbkf0NmpRjRavubsoacxtg0gfcoF+UnrbTq3q8
EeRvnM8o37YsnvplR9wW5tKKXKIytVgU2DMJa9SPS2N8N0YHCJ7dVEfTUOaR7DB3kxodxXklzXy9
yFFrxiRSp/Kedho5IrNp9XdLkMxvDIglmApvZqRV2jfe3NB/Y1AMos0yE1SPTh6h9ZIhXkrSmMyl
P0uTYXqoCt3eN7ISW9dX7oU+VRojYhaiQBD6GeeB/8Wq10EZWomtNhW4/e1+1qCsOe4XXoLLAXCw
9mZkjUZzILEYrNrDewZuC2JgWt9CNzC2ksClVVf2KpaSwA4suOCZFNsK1Wls7eIm+WIuoj9vy+K2
q+vhxBywYtPVyjOzEP31Ujn1fpz85Vo30uCqIyer2fTwQHa2cNuotOt0i9TNDztG4eFAWMObmCuF
bm76hrRulR+iZ9vE+ZhsW9fRzhNtnYTjs3ySU5BubUMut0xWAnKvavfLQFAPAA5XhiR+FEcjzacL
9u4aC5ZAc++k9kteQOvwvSa9NOKqIhOqNl4hFtrh1C8PMTFxWxP06cFRLhtLhE7OHQPmKZT64h/J
lL0lP+NI9aDThwGzskPzyQWuANCGXqpuRuTJT9rklFs2kUjL2aVcZ0UHWkSjKn7UhducAqvxTsJP
5I90nuDAuqltu14/72BR3S7LcE0xSXBKoQMB4IRtHe69ezDl5SkmmphHAvFPYFTn7oJ2EVbmbT4H
3GpMifyNZTFFsivhH1JQWHugI8Wuo7zd6n58DvY8j2q3w4GvZwDSF50tsCztIw9Ush/KmhgVbK4b
cyqI9PXj8hyXOcv3GI+vSarLSFO6e7aozvtmeEXxFUMHO6Kuvems0rlbfPuBALjuMkcvfk6Z7h0R
CS+Rj35u19ByeejKZDg5bvlKKnJ/TDJP7HH01pEaZrRcS0H3aiLI60ScGCo8NNmw+qr6GoId00Xe
XArL5Y0hpPkFydl4HvBWTjaWEasnkLHaoViUc17KNDvRSd/XFgQ5RvVXIDseJw3cie6XBYgMKwYD
qYp7ULsyGnq/uZI+4+Opk9Zeb+I3PxcsgUy80csGAEsp6g9dXSzniW2PZxIV/LMKVo1qB6xMLgXt
IGyb7w7blARiP9KAzLvLYz5Cb+Q9KhP83W5mXShW1Z1MjBfGe9qmrO3kKpP1eTFq88W0kkzQaz4g
wa1OTWbZOxvqQpSihtynUx6/tCTsRPaUti+TVtHlCwbs2MpUR5Irhz20w5cRzAfUCnQPgu4Bo9Jy
V9Dz0wYiDNuZTEzPz5ZTwI7ay0VB8hWOObrGGxB8xDIXtdgiTgEcqnvFA8rJ6o6iKj+rGp9XvWPE
3iYdYUBc1dhvo8AT8rIQ9r50LRn5k95ejHQvwgqZZER6IzaHxBTnXsZEt6WhchBxljqs+Jl73Thy
OoJuNPZkKyEWzzJnO9rjCzK+DC1p68hoJK/qChVcts2d1jjVxCvtEb1Mr4NP32zTNQtFCln1DqpT
QVIYNBw7dOpl+lZBPnxxkcvplLmvpUDiywd5Z27f7DPSkWtU21p7nDvdJwI3B/2xkGC09RpMurS/
8upC4q3YWrnt7kbFhIUoMPE97lsztNka80oDu0YjQkdSn2dX1L3bPtWL/WgiNdVjyRuU5OLTalPY
8hKWYeLDTAEkq79jHoU4MhdqM/RjHdYuubFo2tsNpUe764r8xkFBDMwAz/lZHJML21RmdtS51C9o
QMXBnGKIJtWAYBgfZX5qO/R6gnZe2IzEqm4a+pzPTQJ/cW9gP8c4r994khfSZpxFdmmMvfFtkl5x
tUz0tXVlFlsrzs19XIFyNO78KR6yOIwVEfXf0qFUqBJpWQXlPUqYPCe21fHXOGZYuvX9OCvOWo0T
RdOYklVUypusdQ3CRxDskgtcjZkTOgHhYIhDRBUCuMvocol5epOuTL6PAZ+QGsF55s/UL5oYY0gJ
Sh6R9gIvMZQ/Icj309Og/Oaikfx03bkkyvLkWfnc7jmidoEgvwkHMZtgRR1Zb4Scqu9trNNATCf/
iCsOvczIZu7SG9z7JcGK0LRIamxMNfFm8RZ5Fq+SG2cJ2tu2bKxNtgpyNObnN/qYJKFroURGqjUO
B7vo/XU1mEOqPpM2CyWMOXblRqxiH3KtoVMUjnmmV519alc9UAqcHH0oGiHHnUuyzTSOp+eyfphS
ZT91TN0m8E8SaTLcLfLudbKoyUzNbkccXmg3+plubHwlMp/TqmMBv5vGQIQKrm687YdFvwBTSIha
3xGJZiH13nQkbA80sSWKJt7C2YZKazjSZqdGho1TniYiUe6FX/RfekpP9kydusTIIO5o/XV7fz3Z
hC9mkQYTE90DSpxLLVZju6kr6N7uIPXjnHXNXRyXeh+mNT86LIFDnFtb3faCTG3RGM1jm7TGsyH9
5rmqxWNcevq5bRImskEZpx2wCMthA9+ZqFWln3lBKe9UMnVVGCP79C6GKbFvqqR59Za2QIu0TOjl
tETHxTbqvPbTRaAm0+GBXeXFXDxlusweCAWM6XcGhoDqbpgRW6H+IW8Hen34EbfStMVZVwrJWEdU
+4wkEzTbLals+IAc0A4N6j2gCI0ZxokzfgUwpFPxaw7jolUG1/xQxCFITW9b3PobvVnIylWrbq7z
ASiY3hIcx1VQl6zSOmcV2ZWr3K5YhXdARbiZ0OIVfr08JMJew9IYHdHJnFk0dDwGTzlLBT14Nero
gr3lSptR+BWDjKN+Tb+r1jrJWriv4ID0GxqM4hSvEkFJ5btN06A+oGQ2COExIKpzGilkDac9B1wE
QqgifY0VTOwCOAzob7sU2NZz3Y9+eWXkWWftihlj4UXzQ6KIoB/owJC43ar2sd3luzavkkYj0LKD
i8qLX6i0+amvJjndL6OW8X7Veja8/fWgd5Zn7obBMz2Cqa12Gs84Ja3v72vRJO7W6owaxMj/LaE/
J3avTZeLmMAPeQ3um3J6/Ev75zcygo+WwR86Aty1Dpg99KXOOvv8q45ANtOYFZYxXgqtc0JM+8Qo
ERPvTeVR833IGi9maUUqW22izl6z272TGDuUYhdyWHZd3SPI06IA1VKO6/jPH24VSfykO0BE8UPc
gYEdCaz5wZtbGqoBqWqOl1K2l56kVowPaBz+/kEMNBpYNJm8eh9PgMOQnk0vaI7U1DfrX65W7CFp
7H8c5n9bkp+1JOlCoMz5zy3JfVGTsv7z1P6ff+ZfTUlf/we/QkcGiGrH5Eb9d1PS92BEMrBHVg2q
YbWR/s/k3qKTqeNRB61G05CB+r8n96vcmm0OaSJM8FzTDf5W6ssHzy1A1HVuD87BIYDB0pEN/fQA
iXFi8yPr4UDnSfTbIsc8vcXZGaz9tAAfmNNW57k7pKh3k0/hsx8eEcTapByuXmaSYBz3Fyc3aeVL
oNBJRuNgqp03g+o1GFWEs5eWh79clt8sFb89FAhKxFFE0qF6+PmLthYmOqN0+sg2MBejOBw30Owk
mkR6B3//UJzKAIEFhAVUET8fiilKDovIprc2TWk0WUsTwiPKCXf2hk+88B9kFz9OIIE9uq1D3LCc
j478STGtKRxOYJAiolazeVO1wGUmRVJbFZNAV1urNx5ptdTt+hPD9rqA/WWB+9fBLdQj3MUI5j98
zx7IfmxJ5tJaTbfRyKZkVxm0CP/u2XQQyJkeMhXkJb734Sid8K1ONfEQtYHtAqo0CRPYOFPjqV0m
y0/5GB+69Hwpx0QwRtOfxqzufuSAOI0ycRz2QyRmNJ5MSd88y3zHb1hujKJEwoyA7M9f8NfT6Jgm
fVBowcwF9I8W8jjJsxE1wRBl9OK2VRwUXKyg3v35KOtp+vlicRSmH0iQwLc4HyV9NjhFrJr5EFk0
H+Fga+e8Mq9muvq0Q6Fz/flovzuLfz3ah4vm2rpohFMMNJNGg9gNQIsK8ZqkS7GpAyqsNs+//vmQ
JgvpL9+QfZbroI8MuCE/LGVzktMsGnnsjMSFDF7bxaPQB6Qz9eKTESTycGhuPTX726aw8Tf3un/C
dXgYRLu2KQK1I75u3LSjJ79Nk6UdaZoFGxNy1R2Kik0BAXNr5M3yycL0A5rz4coQberB8YAxZP5y
x/mdIJig5zEi+wXcpK2NqOgxzamdprGzTzuj2Uq/Hpns5pLJ/2S/6AsG8MHw5SV2ewI9pADoxj7i
kwfc+c2taTFfsdYnHI/PxxImC0CrLk7R091NyN9InJCmxbRtfLfHIiI69joWIqTRxaxNF4XRVZW1
54AaVB6CZsA2vGrJ7S7DgVjRFjcke9CKDjK6x/lMDGZ7yd5aO+LdQd9ITnk4stVDQrIa54mFeOyV
DyTYSrFKolXc0zVNN8pqfVzZ06nHRr0ZNZiqPRu9zVQ4Z4mdPwyjT5/KnrHSWwu8f4uB/qj1V3Xg
LYcmhTc42/jsJ+Dq5wDy9CetbVSUVVAAYmd+z2frtidoGEepyA+4TPorfnO1//Pd+usDQs4bhQFP
Pe9gOGI/vyOmTjiDM64XHaQqI/xki5aUpuZ0jyNHUmCXxt9+JDniCqwg381b15ufjxi0k4Lwl/dR
G8dHg/hchPvfgso+b62KDI/Aff7zN/z1hUtZzmoDGnsN6ProyOpEoAB4DH2E4F4ib4XzjzecPbPZ
zp+8cH+9TYGa4jRDMvIDw7H+/7+oicXgKNRyNW9BXzlntdYYKC0H75MT+NujQHKnTEHfyDn8+Sil
HmtlP3ICNZcOAB2ZQDsMjfCv/3zejF/XMb6NT3eJahFduPPhOORCLIYLkTSaAOOHdIcYoE2lCF0m
misi26Ok4MbXSRE7tf5Ta4qoZhj42bK0KjZ/XpbWTEGX7EED9TR485+/btOgM0qV19GYLLwd0SzF
Ph6zfm+PPW43y17so1FNtAD1+q2oR+8277MxYoqlLsplsU5OXsefXAHzt59p9QwyQw9+3e4JW9O0
OLG6iIz66qi3zi7QGe0tVd9cxh12r8Qb5JcCwzmSQ22+gqOABiUlHz3wqzr0quKtwChxmdOAAinx
MmQERzegmu7mCn6m7FPn4DBiOVVzcanp/Wfwrd9/gcAwLKCMSNGt9dr/5U6NjTYAkz1yUpP5lkGi
3A+jLR4SVrGtxPsCL9PQGa25PW+stjzNyfIKk/i+a93gSLcg3k5+qwgArYObevHqe7gTb4sTVyfL
p5s8SjGju820VQVU7NsUzMEnd+d62X+5Lf7yDT7cnbB8+cD13EWzltGjwNl06h1GitnKasc/t7EG
pPVZpuNGolXbrVOmP3+EH1riXz8CkBlSWIAT/RLpMLOWzM7QRZmW9HSZSGH5Sll17dldRdtR/447
a3rCT5d864gHH5TA82yuQBQUupje96aOpb/Fl7oZEVwSX2wOcm2Q69HkZJhmMmG8zZVhsFR6d57F
RF7P6tDVgidiudqDoRz9HAFXcVjq+tVT+p07cyBhG8NWjrQ9Pznnv5ZuPoQ0dvlUCGC+1g3pX28a
wEleHoOuipqseKrQ5KusCLWFfCqEIdYndeJvlm0ULw47T1K5qRU/7JNoVbtVy6ITISd+D1IfT52h
so09/d1QTiptvpZJPEZg0yHRPxb2TSwY4ccOd1Ir7nPDEmQILgwEyaxzN86cF/BqXQ1isWskn9xC
v3n7ruQwF6E6LyYK75/PKMnKpAZn+uqYn5FU+KCRG9So8Tvoiq9sed1PXlA/as8Pt6wLQwvTpsmG
m9CInw8YKK2b0pRblm14dTtY1D0zhJG5YgxqqeVNj8mgT4spFLOkuEHlt1V42hjxL5989d/eTNAn
ebNY8O8+vpbToVe0L3l+STXrQ31VldsJwT9aypDISbL3Pz+sv3lp4nDCLx6gEvq1P4X3L19jobnI
cztFQhrxdmGS+8ke8bfn16CTwZ3E6cXp8PP5pQcuasOGdcIeGZGompJQVdjA3djXjmOHXFkoewg1
khV2Y4wWg25AsZuUdragL//kef11Uw4ak10hm3L6cpi8fv4w4zw4S9LlfBikR9iFGYV27QLvfkYI
WxraVnZlFRFyuMJzB/2TB9j43RNMNcTJpm6HP/jh8D3IPdMi7jCaDTv5Kr1VOTK2or8i188pN+gp
XHdbD/yCjTavwWjKbQonxBmFtBInL6RcxpbjhUosMqPMvh+MrSMAXv35zvjNx8SU4q7zdEwtv1Av
E4Tts1O5TQQUhyARe1E7MDQB2R5O+skp+c2hAtZPjwYpbTj/Y+8nzYxONq3XRP0Sl++2NXs3OBuY
zmmu/v/xtahBHdJg1pbaL6sa0jDYXr7dRODf2xscdi5JH158lrX9659P4G8WMY5EW4QSEZHVx06F
ucQCnzNHInVChHFfyTuix02gHB1isamEO0KW7CfLx29PJftrmwGGYaOO/PneFkKvcIs5TUSyutqW
zoTzAXVOiHG+++RQgfObco9KA/irF3i+xYr188H83K4HsRjcInZLSq47zz1WjcQel9Ap41UZ3gKp
cqnJic601Kjt2TkO026ZPKu8IaGRhysFMhYcCZYpHk2pwKIRwOgPiEYKFxwXIpfXenQYNjKU6/Yi
KUhC7bDKAyjiK6GFdFGLh7DjRmM/Wro1nzlaEkQpmPNlVxPDlm0E3up7F5WVQdgOdP19ZpSTu7MC
mZiEqTAGfnMzmiViI9nBJGdT0lpx2KZ5mzx0RW3MRya0ANWRWJb2TtOlcSqZ4oKUH3LVXTplNfgX
Njro+MbFyljt+XcNo9/YEmu5GewgZzafK1tc+F7leCGhEHUG2aop7pSGdf/UVlp9YN5fIU0SrdmC
8Eofyw7I52Ya7Do7emIUEnpUXedrLt0KfJNz1Z5niu0k0KUAmVHUdWOQh5Ny8JDXao4Bp2ldrNN3
KKUZytJZi6sUiO+r18X0SzxSQLfoRur2DqS/5kV130EghKGn7qrUbvsd0amBd6vXZALthlmJ4UgR
O+0bH/UPKRwCTIAtxQKyrMuCqGp5Re2KeG3/6ZoZ5JuGgehDlkCFn4qytradnZCek60awdIfbujz
7gflyKdYmsVzofn6bV+5I7xFEFcajIGd1QRXA0FDkN73U+JVt7FHE9VG4k88dBqZdj6GeZCXWPTV
yVLzuDVl95ohOsElbxI3k4HsLi3ru21pI4aDGcSODULN7UYdCnzqRjbZdxsqZlADkAbOOltOX70e
dJ5NrgkJcup1aVznoKwJ6NSE1C4tHhkq7UgNbq6dACqHoaMQzPEYbQc9Nc6QuSQX1sj1YLeQMukj
53SxnMjRDMR7jMAToBrHOLBxFmT5QFHReduCtwSWGW+5yYvp2PRMGNNlXkUE+VVOdwlCXHvKp8kM
yapFHdRjDcmSGIUWNMCzEedJypW9jn37ttSSCSUegkWmfst21voBhBsz+oXS9TYWhXyp/E4/rxKP
/O+eWMFJ79t3V2sqcvCUDH0a1pFX186xLQI4j1U8HS09RY5I6saOJsXJhL9GnKVBLMH8XOoDY+Y0
PqBgvEuH+dmZ4mrHoJhG3RA/l64mmErnpX9Ug1ftldbE6MM00H1+fOpiKw3dNWBFz5DlFGOzbOws
WMKEfcNt2mrquhGtf9sNE+9FC73pjBSmmBYMulr11jUEDgNSSg9pV5aHqvTVu90hPJ7TES9bmKu0
J0JkqJsKmcOGSrMV8a5Og/4+r/0E7xs3zxMZ3BZS5oZ9BC9TFolMDCOkviW/bEbusmyOEa3lxlFH
67DT6r7eI7Xwz/iHGqEWpzsGezN35+SSirH7Miet1zWIDGN7zMOlM9svjMD3gEB9sdFMPnPkaWb9
bUJwIg9WXphDWGLSUxviMjygj+Q+ZJvc88lDLmblQHitUx0Mad2kh7blTMFiqAigQpV1n9DVvzYL
cKtxWeXpEY1Pu0P50aA4MZn5QtwjvqOhGZeknf7VXdmSG/q7cuctSNwkL9lvfecLlwm0IAYJmZ51
DlnavbNVHr8HNPeHLVUAskgZKz1cZn96YM5UvreyxWo0l53xUuHwCNmiOVcB2NAvaQCwq0OrEfVU
LPf+bGdfFDo4bsYC0F5vNqelZj+dTiS/w07vnujCMQbJ8O/tezVwJyRW0Dwnwm++NRJTWz5pzbPX
mOkha+O+wETW5/sUDOKTUzcz+8N6HEMCIMs+HJaOh6MwNWTDup2HwnWdbUbBdRxWJRtiTuT8CVFq
SI0NVUKzgsS36VOhcNuNYtn5UCJ8PFZjTI6GDs5jWzIaxB6YFOs9qI0nEWTJnV4mwDe9djD3HadT
e6wCm6/oyTxIzoS58FEJIyLIdhrGCxHH4gqenB/Wulwu6t73z+3E5rdaMo1sPXXvVG86yxrs0JxQ
6KBOGzv5QuvORAlVO/hreFR3FUa5/TJM+X6sJ7uMPM8TV2TUKG8rkQdf8RA1PFRcXZrwzSkvA5t0
30R+bZVob+ylNe67lPOdZvkcLXM1R37CSQVtPp9p3Jo30mnlVyKrq3ZbkbOhmLpnBPFS8R2cqeTX
asDkjdZuTtIg3hc1ovzaz7J9RkBi7hbPa77VhkCasSCeLDZNVcYnQTciGoK++x5gNbuyl0YjSh5R
9NWUOtBhR7cs5+8LsjufuAcTKRvZ5iPCvXOD1zI2ZaJ/t1riN80GPBMJz/4wQJZrcCneS3wZVykc
tgcJbegSsmcNWdPNw55QJCxp2hIbG+VTRDqDZe4EgsPT3OpxKLRBnbUlX94O4Lf5Wsa6KJC1W9gG
EJxq4moIGuyxie9QgVe6z8TCaopjm4MD3vQBTZwQ8xFG5rLnB2JF6IsQY9GH2SLrYUOakqSNVXVP
80zTGu4RJHNhO9s4nhHHorfmLh8SlDgSWu5dWibq0a57MAEj6NYTgVL5rd+38tUi4+tOC5amQFYy
JlezW1bGprOr9rloYC37SEofdTnlt+l6uc029s+djMihxlYcKNdILvc8tC0UGcmV3XHWSJ6dr3Wi
09/1BdmpNtlOhQ7ej2/NEsB9oyfoW62R31gv+S0l+/QA66f7jjHS1k4LwIFkp5UJTmhJm28bDwkR
s/RbunZDduiIgFOrvYqVfIGnnmpufGsnbLk2OCGb+Vgq8FR8d+6kBZ4LSy/eaRWyZiVXRZ7VxrZE
MHWtWRlNXJAJXGu0aHCnkIP51Tbo+vfa19gzkUCb4coYCaqtM+PRFqB41dgZby7CIHLZzam5YbVY
3ms4n1AazGrOt23mDG8mEC2Ha+Zx70vJaXF5k3eRPpJitHEpee8X3Ay3Qa+zmnmuegPt3dz0MbYS
8mAl9r9ZfgEg29wYvS+uiNlKoz4Ap5sChETwlZCSPfs835Um+qcG0b5+02p+xxpf56VzrOeakwdr
+4I9cbyXxEuziAEQoG/aW4DEYst/WTq/v4xLKSJVkM9lu2iFG16b5xaWVlShnkivXbuTe1nZ3UMr
yRFsl+SdFHr+UyelRE0ora8Onva9LeGSSgzdIYJvgvcwkkRoeZFxMZEI877lOeytcr41yna6pggZ
N6SvxY/oyGH4aPVdH9gXymNJJJQlZS/TtuE4BNllQ/9HHxJ1ykrZclhwbvoI/ibxStYNbL7RpKca
EltNXlWzE9+5sVkfgykdCFdNsZUaFcPGhjSLI/jEk5rngojoQV3oYmzPK+FVJ5FUM9J7ixIwYPxH
C/U1cOD35F61opWV9V0V9qnBY8CS5vM3q2t2FbQ4rJsg6OF/P1Fv65tZn+qvwbjOmep+n9BZPjaE
rjEtSyhIVVbPT/40ilu9Ssa9N8mDC2A9DEYtFZu0qTE6LK/0/8oveektHu8cThLYKsFCzw4HzCuw
ZfRfeXfEI29tVKwhf4b/tUdBzuDLGGRIhTpeg/nRI1IyuruhgblpISq8HToOAhzWQ8BF3heN6Rm2
dGy/BmngPrpdXxzS1HucMr2MaJfCytUp5TZlOkN/JMT6IsU8ROyTeYytxfhKhvG4V76mI14zFsjr
YLUQ1KJ0lwmBiTmtQjHP7hnFhf2U2U5UOVO953FiAa4zdqdI5ckWIiDqXeWD+TTBDr8MymBBtVDa
9zKZsu1EDbt3WLvOyrgrHlcyxs2suEqOIqV571EX4ippxQ5YknxbGDVhVhV9etlk3AYp8ZfpRsOi
wbImZyLJSuhwkwSXxAABm1xvbgfPpaCHOvWazVN+EmN16PGjZhvH1s7rOZtuFt186lONaD5Sh1Jr
IdGLGRsFGZjn0nbihyKvKTNstc9ZAonT9Pv01tfbJcxLyz/rQMhsMWHtEgctYA7m5QrzbY0MewxI
dgTyeZznWl3gfeC1U/pazgPnVicppuyqyCysTQ35wTx3LY7rTaFlPEbM0NQFUOLsuTRtN3IMGvC0
1mreWAtJlRDZteka9XxzPtPMZlfnKZy+Q5vlBHem+q3jIWDNvOkQk82k/C6/KLjKZ101IlS1gfoS
JwuVc+z6c/q+qNvxGRuTFjwHzEzZ57y2dQVWL3EW0KnuSkWrEn+jVG88TzjQj7XpfTUW9y1u6+aF
irV4IW8EsHPXwStELrm31CB2vTeUN7NLxVLAhmfoHfRrJnucgLPTp4MywdicNKse7VB5eucdvNyA
jlzZbn2lgV0Aszd79RXtmxo7kp8hihwKXPDco072UkJbvDEbH3BzSh95k5IRG2XJ2H8vOlP/WnVZ
8r2JdYK+TJhsVw0qALzGWX0H+x2OW0vFw3VL2eQA+ip4S2jw9QtJ7sESTPILb0t6Z0sBEIOmP/8L
Tqt5T33MzjQvE/skcmL+yhwFNSpumgjdPJTvub3G13ZLH7/oXWZ8BevLm7625+m6A3X6ghuLTbgd
p1qwhWPffdccSeahuajA2y25U91B0WBh6JJprPee6FW9twNs8iGKWm6PxBwocMgTre8Sd8gdasw6
fiHaiD8TyAnmt5cF+SoU1bmNKmvu81CBc6h3GRAZP6xQaXlsYiYOmkEC6s7SxSHItdMrZSTbEYGv
2FO88psXDa7f0R5pP4aJHcxapM1rCUAsL1+JzVRwniU6lgG3LSlakfJylbSFV90WtGv8oloFc5Bw
gWBlcjjluzkMHHVoLNI6RuAzL/88mY7SBNxGxpPpdul0lGmeAYtgw36ijqBXia3VuF0O5HFtCuC6
re4c9GNVVKQZ7R6UBTg5qnzKD9KgC3RlNs5k7Htncc7mtq/vnBFFBZeQeet2XNNleY4d+iGt1PMM
PbHKVUScpZdcBKpX74qsSx4l05HJhasZyX0+KzOqMIU/laB5bnIvgE8jpa/fj4ns5sNEGz6+sge+
9MFUOp+RqpxPnVZAR2lnYeti/lfD5OWa8OzS+09mZOkkt3HP9fz8Upnd95TdC8GfIxXx3KnuLc26
rIiCoYWyPwRlmkU6wQjTtiALj3qXy7kcKvp/pzHtNB2qRU9Fh+lYYjjArV7vWmYrZCg2KQZ7nik2
3LyEeX9tSa2PcTz5A7Iqc5lgVSfKwquwlpCFV0F/L9AGPhiZbu5IZdBPzKTbw1gO1k0p/OkcLVP6
uCzJ+DDCk/lnW/1/NaifaFBNVGF0Pv+zBvUirWhG1Gv/+N/sqH/9qf9WoQb/AJiPwnQd7BnIr+jb
/ssaH6zO+DXajGmcxXLgcqx/m+NJMEPqwBDBQqDmMSfr6qFP/t//sa1/YCG0nMBAIIROAO3q3+BH
sVavvdy/TMh00MKI7tBxm6vmFT3sz71eK0F52rM2EdrLRqIZtobtaiEZw4imezD25BFaPdGslqIQ
nDTLsHau7K23CXVCtymXtKL+n7uLaYZlyb1tZcsTN7BtPxq8ufKQwv2r8E3xUE5sgggxdZ4UGs0L
lPZYGcdAi/dpDYoJP4jmXeCysu0trq4AYxwwm8Ma53nmZdNyKCfnpmh76yu2s3g+I8IDewzSxf5c
ZYFdPVg5obfn3dIs+nYo3HEoKT6s4Xu2zOxfzG7a/lgOg0zucROPIclNc2i1uoV4wRq+8PiOCW1d
yima0inbGrwL6ARYmZw7ERclGnuzqgkjJq3kwUjIHESwUC3blkxQ94hdjY0g79471x5oqnl9QrRH
9r1oAuy5XppuO71JsY4o04yg0t3PWKKv3cyLswM/Yl3MkETL1SCcHvrKwunfIibc9Yb2ClAY+62e
leOxxc64XYju3YGoCybqCCytS+I1zm6xte6W6EbnQgGh2aGk9IzjgJWnPuuXIH5cSt+7k54T37f9
bPowSXtrNa5KpzgrujWIwGvj7FmNLZtA+InbHPUU50CSMDpM1ckN6uKsZ6oFA6/Ec2K6NKEBis3j
WT/0EHc0IZOdl7rLbVMJO9Ujxn3tITdcWOvtTE3dj7hxx6UKPX/GXm3HTbb35zg+YJYzn+Vi0fFZ
gADeB6QG0AwTENsPtqb7xWPasjSCTqIxou8GVs5J26GIwMAemUNGw+iYCBJmyHgBOGC8im4h0yP3
wNg6DiZdSLxbk47TJYqNEdQRnUw3qIxjqpZbP4ndXYB1DltsPWZEkdCfs2v4YYm76iUH2mgbQhEs
mr7/xd2Z7DiOpFv6VS56zwJpnIG+vRA1Sy53+RjuG8I9Bs6kGUnj9PT9KTILVVmN2wNwe9Fdqwpk
hqdcokj7z3/Od1wxbliVD1E7BTzKDf+5mFwg0OKQ6PbOnWlzXtDl/Iy4r1qodiBmTEtRDGua7YFX
dC+GkV4nNi6rlv/MNsGCvaqG+d0yx2Xr+1kMlmt+Msu8O9D+kW4WT+VnVRnmQbroZaxNxPEGpQXj
a3WAbdmCVOQXjzzqiAQHDcFxMKQHU/HVFF4pXsJZfNTk/iMF5Q1tuTcip8+HbVP7PZwX284PXTZ+
tYhlxzYjzKM86LvLUpmbVs67hjMR2rneOpzZisJQ66wy6ihRRmiskIqogE3Tn+6CijfRaR3G8Io8
ZS6r0GmLIDKdYFyHek7ODCI1ovks8VIsT5ztu5XVZGg4wo0jByjFA68+P+XubIDIn3p5wMqjf8pS
zusgtXlz+LLt1U258iXQ2GTp941Sh3p0n5RdPhagjhcr3lE1YUa5WJ4zrwfi24VHdiyPXZgd6oVt
WWDOmyTn3U+g0AaD89IpGlzm6S4XBgAmV9OsK8t+M8QLecDYeb2NuvSKUT1sVXiYHKQLUY8e8K5U
P2UGVCFlWVHYe4wBvctNMGNldBsHcnr8CMcyb4hAOFdm6XpTkYyKfEIjXFuStmA+D28nuqpDBgv1
PmjL74tP3Y0SZnj0uF0eNRsrDJN2fknDPt9Dx0jXfCusa5KqK2AiCCb8UktTX6bAyT/L292s0DER
oSDvjJOUwnnMhPKO1KCkER8Ys/wkw3dfpd9MoxsQVKdfaV9Z+8TvNAAP1Ci4hpRrG3F41DOh/I7b
+hVeHxPQgheKHC4F3u2VHJi55TaBXp4bI2CuwuvfuK/otUBPGFbS7vNLLvQQqR7rHgE8d2s2Sl/Y
aKeP9jSFVGKYj0tr9Gsnr967BEM0mJP7earYC8GdmnLJYb/uHjsKrXmHbggNM9/mdmHz8hrnM3Wy
C9Ying6c/qbCYjuY989lXVB2Wy3x01iMdxIlKpqsPn/xjfzFTUJqWozhs1vCb14iDkK7t8pcLbdV
CYErFeO2G5mlgALDz6DjOVfORViJwrXRfq/d2d247dLtzV48y5jZCBxFQ18kGL6Tq0bzklr0+Yby
XHbpq1cIVhHlsjEZNlDBbzJr+MHoABUBwbC43UulETwEnU2pcz49Tnx0N9h9AmLaW4KPgoLibyXh
w3Vr+3zVDIjmwh/u/HnYDKo4+oHoGcuVONHaHazUIPHrxmGTRsVcBqQg9HJIm37fS+q0s7jY9aWZ
RQmU0VU2GFseZmUEht5fBaMTVoxE2vmO0owFt2+M4DIvpnNNKwRNIInqrmTCjWg+aTYyd/E3cMiO
RqEp9VA8E8byxXJom48bzuwLD9Y8DDei7Z+wvNCL5VffKWTZh8H8LfeLcjPw+3hT0RSgafzsNMw2
2ikpaywxgYAl6C6XyXWI9ULDlYj/qXVyMzfZzgYKSqcT+z1utHwkDVKAAWjZwW+CgjvTUNn1A1hI
wGBNSyyu57kmMxSGuYG9ZlnQ9cj66rMgpRFlQsh9yHpvRZb4JTXG2+N5TEgRhysjcC+j6QuaZMr6
3kzkMK0dCNaoG/OS60dAOcEh7IrlOA32C6R8+UW23Ej27Gt0sXV91lqQ7y1Cno6DIY969VJshj78
XrH9slLKSHoG/kfaqx/G2gCsWRjXak71fTFlb11rY82YvOaoFu8t6JzyecqKozCsfmPx660F1Ssf
3F6d/S2hTvbfajekWltWKAa4oGZId95t0R4EkjGNjpYo64b3MEkoCDLJ+CbDWLwCFAJ9OXTBL0+7
CftrSf9NapefTeBTHTCiYhUa4kWBNbwKKv/V9+H7GbEHqt9P8+c6wVs+jdi5Qp8lim1PhD+d25eI
Dyxf2ZNdsFTOuCGHvLyk7apNlf8AYP41m4ZPkWI9vJEx2dALnl5Kkxl5Hnhk+7m0wJ5kLbrbIltn
Jc22PHXL0uzRfx3OCHVyZ4kS1Yh8jeH6N9t22DwGlVCUPAWpvhrKDvaL76k3EPD7pp+nZ2xddGSj
u2URbuzsDNn9hyqC79ydy62iS2Ot21i/4Fk5eTQ67GSIXdpFJdzE0uMBgWC37oU9RCmxGXaqTS4u
tU1NUCNcdcbpsqxou5rPlTOG+7EBb+Gn6nuJ7yjSNLhaD1IOcNqoJ582trZLQBX9mN6ayzFGOpVT
8PDqjPode7N9Smhz2JacBV/NsbXnqAlKNAYDb/1TldrWV1263pcDMwbxiXwwRYtqZVglBwbNey7C
W7MAXmcOwMPR14uxyrR5ExruYwYVm+8taSVWHKQHKk4eWDAzxEfGeasa0xPpXn9b0IH7BCezb607
DloRKNlXID8HT4w/mtijAk36y7rq5bTRZJ4PMRU+q2UiDsBDcsendnRz1t1hxuq5bJocSKb+GNiA
M9/eYsoSF55b4lRuAeDRP9TsU6eWqzmWpFUCq9zbvXBWNPINRzKym7i1L3ma2y8ZWaRdKb0AYEtF
82qfVmzLw6d5AeUzKALn6eDsTOsL0gkHpjxGZqniF5ZX1aq8xZApJFh7NMutO7ddBUOOTcOb6w0d
9/ul5rpDKO9WmCetqKHeEr7+sA5uIXDiiO7KCTyaNdSwCpYi/RiBBXoc8LdmwFtchfJlagBEkQOS
GApY4KOCrXN8GmtGFXTE3mAFlviIXMzwBzrbH6m1d3ZeYn8va/3SSJZetGtd++omrpGf3k4jEYFW
9ms0fqgcrPHuDFb123YxxGuJEWXVUxb2MtEbFQmByDrNhrPKrdZY2Q2NQ6lrsPzOm+ZcVMtLpeS0
bTrOdBnK2Y+ihXLPtvq6ZFzlU0ltq4lp2ANS8uJb5Vml2rm0KIQRNK9fHH7pI0u7jZUvKKkGnjUE
2Psp7bAklLp6oXs9w4ij4Y84ECoch8MOWiCVTkZe3kGshB844ukITVddvCD+Mrs2WYfF5O3SsZiu
avaNbdgByEH54dQDY+qeCPqlBuVwEUA0qkbR6de1xSp1zPki8vBoWAG5bg8Pij8MxI9DfzyzfvnR
MG+UlvEuguUzkR4A106fGXNn3gyWrAjAcVAMm8UwdiWM4AD8sEUs+4znX+5V0T6ozD7VU8rtMVVk
tofM3ErJeDuI1t7Z/bATjQvzK89PtxQP5wTzaBbBi+unNiSw5XPy9fdYJ184e7h+Gvuq+zufdWYz
LD1CXZ18sJcdIu2Uh57WmCix/TM44G9EQtdtGDY7xLNmJRKSRnFMb4pRm9bZceQ1HzmdGV1uRqAK
wDYUQWJeirgZOZ4ZD9pTA0zKalp4JOQwUgALcWswDXiUcxB0h5Yr+GNu0592QTWpHY8zO3nBgm+E
xDCsUrd6L5u8ajYAeqoLjywcNFNjlxzwqMBdi7Str+Ot2m0wJkgw7MJ3eYYVBBIARSVRU/TyXWC9
wtoywM1ypXoZNdSgYWDRx6m6OIR+WmPPqZ2tnJfkNJra27a1fp7bBSBbE96Hgc4f6sywftEAp09L
mtGaaQftXpRzcdRNPG9dfDPPTs3aCz4tTDszvytqhwE/Me+XJRkiCpKTs40bLdKWcO8I/zkblqrT
zm7I++cD09LgO8a2x/+GIyzhAAC3iF41Z51MkAUqhbALiThZo23A77PN+8TRQeTJ3N6ItIzvPav3
9n45fwWVph9O+J9+UvKOcai9qzV4zDafD247QEIYh4tVNRwrutTnWRx+QEXM1irwbdrkqHg0pFtz
DGJ7wfKZA3c4RprvToI/k8u1GreOYE3RTwJO15Rv08YsD5wbDxDo4GhBn9tyu3I33M1nPnq33pR0
eOepvGeYCmjYNqhS80sUF3vCsAHdg5O0YxZ3PKp5CuELk5e5C091VwcrWeTOWsSAQXRRRcbA+MH2
SZ184C4reLDZviscK/pNwSj6zjyxuemPXWP/Uou+m0NE+9tsgU/iYnF339z4aw95y8fYFN4KHVxs
4F2NkTEa9PU1dMYUKjBOo5M/ZKISaKbVXeL5r02A7Z7zNR4pyeXfTdO2tsxdMqJ3lL3LLOOm81YX
GT8q0JRHZv3PpZFXr+nBd2DxaqEXL4m9QWVgzsKXG1UGxL6xT/n1SuQau4tM9l0rNvLxPm1KsIGF
pJxumo8j39RIE1NbmbrnHula7ZoD4Nfg518gUQ64TB/oPwaU1s1izQh54hb9io+m3jq4IBm1uJKt
2Y/6oWOxaWXmZbG02LGGREZZeOg6vY3YbT3OuXEIcr0B6ltESrE0ZdBZ6jflQFVbjeMYbEVpPXPv
fBQzEROu7X5TeCOTVzBGCR2d6x6leQHIolEEALxl4zHFDM8urf6qQdRd88TggwzcnRoVtAxS0S/E
YR/8hbqDSVpibXfmtu9cVhBtC3Kag7Lxu5oJY5CfP1dx+jOw1KVbxKkIvE/Su1tZfvYWC8s++NWy
MWfMzWYSyEsedVW4VnkdWSDe1osafske1lZpFB+pAomnHDY38K2iAjo5okqAVrLkwFdq6pNWqYW1
g7vWB+0qD23KDTrqdOtNtwi1f1/pQRwNzvRyNSUl+J2BoXxQc8u/xJNcDgUUTlOyIu6mul2nPSET
5Z1kZZ1a042gQ1ccxIpSb1FxkiOPLEBHi+UD4rZmpc8GQKSd04kyZGPPPi0rVfxAZs4EY91ZLQZu
ltNs3CZO5P2zwdq+o5e1w4bRGsXYgqRKkdo8ZgSAjErobJs7oaXYnfEeubFEc9Bo/WftBw7Uyskv
+nMMTRjFYvVbhP7P1ut3P5vLZ/Wz+6+3H/ydwwX3ubT/b3/9Y/fHn5Ofza267i9/2NR91s9X/bOd
H392VEv+XYe+/Zv/u//wT+H8f6HEW4ADkMD/YyX+AAi5xlL5z0L8n3/p70K8j25O9IJQHYo3LFp+
3t+FeIu2BiJNt3Tbb7GdcNjfhXhxK3IIcQFZns+LuLFl/xTibe9vt/worvbQI2VhIt///Q14+ENf
573jneWt+/PP/4Yw+tBkdd/9+39hE/BXHZ4MOrSJEKQA5XwECMKb6/yfEmqZlwHztLr0OCnLR3OS
jfsb2n+SykctmyfLwbyah0+yUKg0N7c+pNQhcMmudH2j9q1VEVMLmtI7LovvUAc7NMu46k1zumpW
W87Oyqk/uxZh3r4pNrpuhI8kyaM5LvlSDaIb4KZVgVqVMS5b+svMxcGdqL1zmHs+qKOxXQ6LtfQO
cPqGsu3St9vNcOMPRPbYYPvsaP7ijGyorxAm/HcoTcO6D0K8Aotp04uGtNZRXICtcm0loyPOoeB+
3IWVdzc6LEGrQT92ePy2fkcsaQXWy2RK8KzsSeb5fKWeuL+0iagoYMJisPGnxsCaEUyJu6pdM2Gk
yuVj6VJYyo9X8DGbeZ8Qkj4KOqBPVhrsaCDlbJw2WbN1a9ejiSplT92PoqANDq1h6/S+eCtvsOvM
bssnS+AoRx3+SLjR3YPAD9d4Tu0HzWH7MDSzs04t8ZB6SweZ2vM3xkx77EQT1oPtG+XFrsdH10Tw
ccsS35yc/PQ7Thm5cwBERPBMi5NVUaqaeZN6HFB5eNvTLLljfe1cxrS2eW160WcmIMUt80I3WfWL
dUO4HQhabzuXRGiCLfURXMl3N44bngAYRjyDQx+d8VCI3eUtdHjW0nlVR7J0j8NInZyPl/Mpbzsb
JS6cTrb0xwd8pBgFi/SLp2X66TYeK5JkOgEqZQ7Gx7DycL6uWk8a14EOj6ey5YRQF2V3EXaRRtQs
t4hPxbUt8/5ioGUxZWTdSzFRW819dbrMuHnXEqP+xnJ5pQamHMj6cfK8BD5b6DLgrhnldQN3kfKD
dmNKSWFaqszjbOofJf/+fcKB+eoPNct37Nbho49f+coET4c9ywtgzLjWLw5Ta5RL+EIF1qAdfcb1
oym4on1P92ea/JzTzANEtjaCAJf9XcND8R0qLPkX2h7oLcupvsafWio0jcFZK/q6d2Dckq2haNsA
z3I0U+9uGDqFQunRQADaPo+CfILCVZc0QnRcgxiwWWjo2Ogjb+lfDfhAdB8+8qw0t7F/cgaW8J2q
v80j593Uptm1x25Ddf06LJ1HC27Zpg7k9076/oHCsdf5lqIsRfdR0Ya4ZfEM5r3KxMl1YJHWt09q
/mEkPGgai3Dmos03R99WRHMY7+U4GHdjgCQXa5msc9N552bY3QtZTVsDRjIAmsQ9zKpzXln/jXjY
qRusYmKl7IL4WhlHHwrBCr/FO/Ku2mifouIS6y4Gk+PSZ+e+6hEjejL+dXahbC1jNYeK1joVQAIq
7sZRZttizKfIAYz1GMR2eZWBmxzIVGKqhtF3IM0+XaupXHZ1X5BsAN+0WxgP75x2wGpDZUw7OzEb
Rasbr6PTv2prNvaGmlHqHCut+YI1nTOaT2hz9JCvldWK/GGOR7s6s+y/VG3wRaOUu/G8JXzOYYRx
sqYJGPUjfpjtILunyOCzdiTsTlXhdWWT5MmBjqiUU8BH1/IrYw+Wa1YE4gQCHyCjcLmkzaREeHRK
vNZp+TBz212lE/c7EEaYjvx6/lhoSMU5xv150FyD2TzNH+E8MXhUmamecEs+1abHRjGoq3uKKOFf
DCGUsofEja2DLSHk7dDy0fVLdzAxs+TNQRYD9kweNyAgZB0+9rn/SzbQfBOB2WKkRhUzIbU1KEMe
kD3p1RXHWicjFQhGUbs5FtXMM7acupYtSnK1ndPf1b/1H0XA6R+1wDMNkseqNlPNs8VQ3wtqMRga
nZyMDwOygBbXBhhjcyarPXJhvpwnp/WuEw/sJ5pC+IoUnGPpIO8H91tnZe0xXaoZ5WKx3a+eq59a
ZuL8UHmN2HewDUv/UZEaQauxzPbYwDA6qjm+DWt5jb6q+gN7ieQ+LXX5hMGX8Rvh1d+ltAONaHtj
+i4Dp9vQAFLtLc48n1TomsxoQUvGOKFN5ZzYLXU+viMxzS8jqJJBoomO9k1DIBFiXCW39l914ZjA
ihwx3nGQ7x5maiRMXK0zKMXFqqkVwnNqU48yLfrNxPn1qVoze+eZTAco3oy77tZRFA9u+MucUoqL
mBvtRwNzy5tR0GtUUXBEPA9o+a3zyP1df5T9rkLSt1ak5NaP5DbDobo1JnWcH+b1/LtIKaRxmw0T
9e+v+ta0BKi0/GHkJlpWpQUyjYfkfY2V473yHAk38ndnE8B7anx8X8bQVKw0ObS3hqciy0KHm1ES
v5JnGh4I5FIGhRBtPGS/K6KEXdEW9bs3qpS0fwxxT52UCKvlEGpV/HB6VTzKEZdUV44CimAdH8CX
V2urSPmyyqZX94u6FUh1YxegSBCdqTazCM07WabjuzvO4884SNVH4GDoq408JB+YhKiak5oN2tby
4YF4FTs1u2uN70g/4HMw5hGQxnq71zSgtnvfGOVHmExsiuYl1gdpsbJa51lOu1DoV/kbOrRDz2dj
94+5A4sdj6KNDNXL8sB3DiuPFibFJLMzqRWvnM5MvzXf47CPHRrazWJaW4Ph7nTpZI9xKM0dnik/
qgFYw1hh97bj9swOxiV7AOhU+Od57NXRSntv7UmHMtfhVhcjuOD8UlI5HLQoEihhDCai35DhCp0V
acmrpbseadINz+ypsDD4MWnhCUkcSwGK2qoqaxrV25zxJkuY+ZhpuuZbMQtZb3osYQrfuVp+Eliz
72ITFjkIqS8nScMXdJfqs6FAdmuzrirX3OLZNs0ssIyIhBl3RHeazUNGbPQuXBz/Y3Dbci/pBUsi
kbgLoRB7tr98DAKnPrbs17BPUzYMlT2BSW0B4SMBN3vsSPzfYtFFsMdKOT8GRayGaBKp9TmEA2bR
2pUfsBr7qxv2gNHzSZjvmlaTeEMNquZaMju9Cmrf+hEqofJNXHmJcWQ9HH8j4lO/zAvr1q1dp9NJ
d3qGMshWfb20rHoqwj6HPCkezEVn31TtX5KZzqe0QhIKsAwE8F7quQ+vTh+aF+07yToJK6D0bijF
PZZDephZlO+Ux8FihXzjfAGvEUS1G5m81s7ss8irRlZiFk6YObI6fA5hmSSXrhfLZiQbehB5OewW
x+3Xi7TLrTZNfbYYfj3dVj9TVqJEKbXnk02E6bMauhpAgte3LwkdFV+e08TboTHJLPFpLl2Ekq7v
qAErDgnHLNJCsWuyvmsT4kJJ4bBOodG5XoEixIdjpCW3Fnu8a8hXvpU0tD2DS013ZuYazAexPrdy
CmHyQmyiC6gKo8TkjEjr6jHA099t61axh85C1q+QgopvHZiZdkWLAEzoNHP7eMNK2dvAyF9OhWHJ
44jT7sxvWJ4FpdHf4yXrt1XW9/tKqmGbhHZ9UGVir0WxvMl5GrEXCav9TGzlP9hKgUo3s/YPNtt/
9vx7l31vm6751f914v09tP1jHP5/aEq+tZswVf7HU/LTzUL2bxFOYablv5jW/vyrf87KfvA3lx/l
ExI3b740ssh/jsqB/Tdi/ozEN/jcH//kz0nZdv8mgC2CA7JtoEPuP1nWbEE7TAD8CEyohaGNwPS/
TMb/s0nZDf/FscYYz7jOKM7P9LCbmf/iWNOZKOo2z5r9NPjWyHTGFR+hIIW7lL6OrVcLR3MgzoNr
iHd8oK6EI+nosZwkhkyoGDCV9ZzHmf3GiDQ/NARInujpiD9Cx5oe8CGNcu+Pi7tnQsAQSsLdPWUG
XHJcPBRJjxPlYMhuU96hnbOtOwelkV4Kq2HXUmLaOmpCPQqHVpag/mKQsvBkeACLqWtgj1JpbMB+
ODvbwuic+99JPx6VDitFuAgbUxn2kcJo3Ex8BHW+NuxUpIcBlDrpqtm7E0YbUxMq6J3WZGCPI81p
t+SFWbPDUcO7WfGi1qqK+5/8V271SqxjLNI8dWfT4qAwQ/teOW/C2bUPhDph+3H/wdiWGaO7z/Cs
+Bt7MatfGR/43o3diaJulzoma8niH4t3a1IsrLF7kxQs8HN5ZW+OdLu3eiTbRO3Z9BBPWUqzRFw/
yy5o7vsOCew0KeZ0JAwBPyVO/eBWnFIyrNIhwbprAd1/RZ6bN4oJs2CHBQx5ZdoUNBA4mgAHZAvB
uYQKsRjqEeUkS2taa9wL2J1D6m62fkA5AKbrwyQreYvXhg9ul2bpGR3O3Xe8f9xYFc9VL1M7qNXj
OdWhIH9M9wiuL06rlqWCq4Fd/JIXrBVDlIp9ZQGtYBCynuOmcA4ZBoSjUWbOAXtOw9FXDcbT4lTz
xvNz6+h048hyr9DOOkPl6PYL6Cp+Z3Kidp2pr3Gp1HurG/EmzZlmdOJfiBC/IQ+WURHD7TkwYMeY
w+tEvzsNkE74JBDuMI3Ba96EU8v2zh3sDxFPHXtKGq7Fuse68MlGMoiwhYVnKW3IF3oGZexMeZ3t
Y5/B7KD1LOZdFmvjLGJjGDFv+NXGNqeANXJnh7f2AJfKWgphpCYdFroFpTNT+MDZ2LJXVut5L7U1
O3cp5uYRC3iJN4/NVw4MJ/KsdrF3CQeIMF4ZeT5Kagh5I9r9TO9F8K6GhkVHH44K65Nnx3w+BkB9
TLNajXCB4RgnrbUIvY8bLEHH3pPaPJRKzdkb2e8Qrxr/u3kPhfnNjxPjaWb7SS1AfOdX1XDKhr57
S1V1iUM7ObOOzMLvOfEOOO0cYBvibQnHbayHojRfXHLPW4LY6cqkAJzd8lxsTY8/9jarFbUk42vW
C5wOlNzckVlQm05ybNQWeeyS5x8OBUGWtOAaevU8tt97vt4Gdgg73jVtuxAGce1KRiaVc+ssF2rt
FRPiQS+6hHM+r2E/m9mk6SckIzz303QiJJ8fGg1PeoZTAzjx3OddfMgHq4vCgJjvmLEm8Kes3Dgc
uxAcph2tM8YPvHc4wuM24pm8mwKLg2gmLBztvX/p5umpX7pkjQduF/S5+2q1AAIwUZBjnHVzPwbm
Iz47sRqo/lkZXZiuaWjhjF8iIwTSS8DYE63P3RoAu+x+IupdTNph31VbjPtphHRAu2Zwnw80vcwF
u0Kn7HC36NjeKqLAYJ7SeQfp+pKpYN7hDOijlOqH7cwEspoM/pZVEN7L2raR6yJY3htWT7f97z3G
jzugb9j6xa2xxG7anYrrdpt7hnnXtvF4z9ATsKMj+8XddscCIdhkcO63DZZhaJ5ud8tNqRsqKovK
YTCIspHjR56nK8BPPppMdOvESjPsA3O9FqFmI9E37duYq3FvVkn/kuu258IYjV3STr9YRZS7Oc3n
Td+O1vNgifgDawzKFfEZ5+DlRJ2wDQnzoL1mLPY2SSWaHjK5DUMQCmhTZDKlhvkfxKSkYfz7Vy1v
TAuiFWwCO7KGrlNxVXiLz0aOXkrcZUuWbwJIaY9hpxjRlMtXFgYHCG08M2yM1Rc2roZKQfxB3+gh
qLaWHrBQZqTEq64Pd80yyHc5xuZb2CbGhhw2lTv4li91IJrTrMZ2X9lVcCUeVN913mTcExt/9RNV
mZEV0pGImda70LRjYY4mn20d3SlPztAZAmqeaiaYss9wdhfChjbKwXlZO2MFUaGHezsIy77YMcmv
pUoZm6mOpYmSxu+dL/2CdU5SoqaQNVGGBjopSX5zxdXYTPUI1d9uH+G+Ntdp6c0LFE4ywj3vtC65
DJxxa06CbJmVOntBPJajNPVukMPyn3bnVD813aQ4PexqiYY+HtlGO958rH2e2FE+K3ftYRV+aVI9
PKZhEfygOCPZyFAFZxWLDyPUv8h3Jt884eG8mWsTI6z7Ujuuccd3qqBhpwCzaXGfW2YVvyStAx4w
/4g9jaVIubulwf6yxAucqWz+BoOIOp2SigPfbz+pHKOGyjYPRToVm9YS8mcCnmMFQI4kZ2DnBLF0
3WCVmR08wLH1UHbk/4tuLK615V1Ik9bnamn15tazyUydDFkfjWk7yk1nVQtTz+2oXnU/dJ4+sya/
rTYiI1tsa4XKUe59TBxrNzaFojyVm2vh0kKJ9EDxhoOpBBeJvUnrOPsURfFsCK9Z26MyP1KBI7vJ
Av9na7WPerB+xehkQYvtMDT897q0zLVye8KhhekfwzleztLEseXb6r1JFoz3oT6ONX1RNIpIwB2K
DppkoJJ1mquDTVGFOxNnyj3rJRvnAhelild15llbq+3CncDtwzIw37VDKY9NPz058J5uAhZa2+CC
1s+XHz3nz4iwbfMUM4lie1t4r+PKnkm8UYLksiFGo+yq7aRBC5Pe/R4n4pulkvjdVK59T7tAidvN
vSqr57pyv1eiwim+6I6emUyeZD00J9LCP/1qjDgX/OiCgsWq5iVFVt1RnEV1J4k+6WxIPuMoDLyU
sjc4jZYxJ2hAY741OT3ei9qPH1o6w1o+dPbPO9rzLumMVR1HG5eoFSS0fMAGQQGxLjZlDOCtvccY
KWlHJszVK588wqNONXyHzlj5VGu6QDdWDo/0s6E62nq95bUn6H87bLJcvm/8niKjMTwJ2eCuSPZK
VOUqJdAaj939UmKOTdnQkDKA5lJ9AAqpcdtNz2OnH1BU7nsMz5zWyDJ48DfKPp6ieaa2NCZaGM05
X3Maotj5uHbm4uAh3nKu8yA4exUUktTDOz37VD8YmJEeBDyg0/+Vxef/d4OfgH/EjPYfD36Xn8Pn
X1n5f/6VPwc+KKPA8h0CfsDyQ+ufU0rWDVT3j22oafq273vCcS2LI+A/tqEu3Hx2qCarUiEC6Fr/
JzOe9a+8ThOO2+0/QyYJPL74H+oV0t6ZhrqV9p0Pd/V1Hh2WE7ZFNsBdSsS0tFIK90Jz9HhEWWw8
FC7SBXPr6AUlUl6nztzdtPjmpuBeGr9Es1IYdYmBSEVkQ0PGeGW1M3zri6pd98mMZC9nsnzhENCu
K/sc1c1L62Gnx9kCHNg17/UQD/dLG3LVB0Y9akQuYFSE+ttxm2Hg3PttjsegLQa+mnTV7jxCq5SG
pPlURNAyHGa52Z4enHn2vW06BWOyZ+Rc9HoqcvMr12UH7Xouih9sfNV9lrgDZJKxmu5Z7HVYSkgh
mWtadOgwzHnc+/AGWgdwiKUnucOKwj+12TyJow6S+UFBC5sPiVFjfIbEMSGh8QKbkxMzlKwIuFT2
VeA3u4ZwNx+XvBjuqXtHPsQrtB5T4FBR3DUAmsfW39PSVqsod5qF8vqpnx4I5PA4ptiDrMYdgudL
LzlyLmA9YhPJdx9bbqZ3VSxwtu0Cty6SLXXB5mKiO1YtT9OiDqaL7S9QL6J+HoyD0/1uMJHJrc6E
53tQ18ykTDjl9NZJyOH241Cwrmlh53I6Zf09TJdCDU4Yb261nyEZd1yeW0lTIaF76mo9wIpEZOL7
mEXRlm0JiyOK33obJJjSg9+fO9MYOPMqk/323uygk5woRS3jtXK64XbhQK5eptxdtoz7I1nyyhvL
4dj3Wkvzv7N3JstxI9m2/ZX7A0hzdO7ANPqGQTLEYCNNYKREoe97fP1bUGbVkygVdXXHNcg0S7Mk
QXSO4+fsvfa1PqZRY+LUqmtwPClzDgO325PvBYYxfaRWh+X1penLJkU8Ek84ys//XfC+qUp+owcx
TQZr7y14l9fZmVm/vn4vCPnnp/4lCNH/krALUIlY3wJA/iUGEX+RZ2Oy9jigJOeQjH8vfyg+pINU
kBVO0B6jM/b/lz/rL8jIULCVC0PadOFg/kGLy1JvAHyEczDsJIYE6KwEw/c2XkIx7dSC3s72TIuI
cNsyc/Wjbs2Aq8ftnbKxRK+qjP6qMUamwOBXVno9mFtFGbkrUwtHg+0ht6dPp1/XDIIuVGTxGiJz
tvJ9CSkXWfk69eXwhE+JtXTE7P3s+njijEIky9a16WMEPulbnvrSZkWzBwHhb20q4pWk4FnqHjP/
aSKvYewEMXhgbfMFLn04EWzDl0nmoKuIxvzJKkrnOUP7v2fuSJxbKDdtrQhRbTpBtnro3xAz7Oyy
MUwuRmB2zElri9Bz5hb5E3SNcmt02nSou2TenRpSvniOKrAHpQWD47Ty/VNejYRSRY1zNUST+ND2
BMtliTp3re6eRGSWKyf1/U8JUmWik+IOZ0CLkSykuARGW20r5WW7PgTGjtb+nBe52leZkW2kFlPd
U+beZMo9+FlMHN4Q32rs35jLEFGpj72zThipoJYs7bsKkQvAbkssUc5YqGaGet/Wk7bztIneUBxo
h6TGqRIbJZp7jRIcHW9+KmWg0MbBvolY7tuLHlI7GoA3rnwvtbcWboiNUZo2v7WeGE2iWFChRg3d
GhcA5cPnkfbiuu4j+moqrs8T0GLS6WSykdD6V1oxjB+sMFIvLV+ugmm0SMN6qxdsM2COGFvTwB7a
OUhiosiTX5xQxuOJZlF0AhFAS9MpEPgMQ5OugeB1q5Ae6o7tSLUpJU2SUcCygs5hMLxuCJxFwPDi
VFn/1aeLtZlENpD7gClmzXtjna2xJ6aYBNj7oNWje3AG47MmyeIhONMWJw259NHR2APkqeAmhy5J
MYVPrxDxCcwDelwHT8jsBsZXfkp6/T4YNBwDmmmVOziK8XnISz50mdndGGnlHq0Sac2CrwfilJAW
m9q1Whui2cO50y1cch9iuLizLjOcNlFmdC476crcYNp3lga7grnVYqS7kcH2MiOTDYOJ1eL/gO6W
simaOmMVlb5ase0KF4MxpbcgjHauXaIraLPyVEnjGd6M8q6wKQ7BsdCTRxlW6kOa28RzObqGAbO1
PGObNOxw1aJz+8z9PFmgM9a+N043Ew3W27o1nJTUAJMtlZXhn3Ca9t4uBnP+EAdsBJNYXWDUR2v0
hPoacYJ7IALcQBMJxYVwaXSTHwoQE1G/DEE+7gpLxdW9ASKR0SZQqgwhFgKmXB0y6I61hqs1IueT
hZLrnnbFtPFkRK94nfue+DgFZd8sRaH518j2U/VIVphRErhoj/oZOH3rfQHdguwpnNwFKxzaTkuz
1oJdGU+uHWOwSFvE9ZWlw0vsEjrigvH+i9I8JB1O1omc0XeCRD132hZeBlUVIm22Ptap91P3IR0L
+zmmROVJESSm75m0im6Rlf1wmzXK+kJ3tYm3dEk7mvljSeuv00LYlQ19ZXed2TGHnBK/kot0EPoF
WCmyKOKN0X0zNQ23rH0cEYcRYGzDrdNglRIZDv4H5VR+g4PZyNHKtmVgNsc46W2xyvNOw90xKH8N
aEvekAU0bBDn8J8igeRd2VxjGqXeeEl6Z/bsIbxB8FyVWBhSt99GVCwn5sAgkEKwpCBNvZUdJ7Nl
pqWIQskebCFXOtucANvbzEiuJh+t46LS7fxqCOzg6BWF2uR9YwUMItCXz8HzBVmOWasvmkgacwUI
sZKRNe9qxPrly3Bd+WQVbYQKxR2j6WgtjXrSEfTZ2kJqWXat2GB+cDolrxvJeMEGukfHwXSPSGZM
PDW4SOLB8rdNRV8EKXKbiEVKYPfncixf+EZV10yT5KZXHtAwjBTOwhCluIMv620GInPvbcuvz5YF
CECAD9onWFFvQOlpm5mNcejIcvvMCNZGyaOvaiX9PUuntwNUI55ipYcrRMfOx04vAZQ0aOt2kV0O
R1BO0wm8AvS2ckCG0I8R7QuT7lWZd9eWP2zYzMJhbQSy5YbkoWIRsT9Yo3SYbqFnR2vACNs6yYp7
cP9ITmTXbnWSDbdU5XbJfIJOP271btkngMYUM4ZoVQ0GviSTJd4lNGrF/AghCMe/G0gGWhgz3dYn
zeWWkXq/7KYgXkPF9LeSE5gZW12y0HsrYGmcrCfTLCu+hQymnzvUOSddTforDWOEiyhn1jFCv52s
S5NkZI5nuBgMCgJNN7CKinWFKug6Fn35gGytPNHHrG5tkEVXzHOzJf2S6IrWU4iIIeiu4xymkG0k
cg77/YSYIbwCeRU8Iv0UuE90ImGiWlIJpGS8t04ulnlqEt49gMhbhrz5tzZcIwyzsnqGhLuk8xCv
kNE056q2AXxaqSP3KX2mcyyD6ahHcf7S1z5KhQGbeTzmYh8I/9GrMkkHhbZjQpNuQQSquWbUVzkL
oWtPQ+aJtQWp52SHoTiaWh3Cyap8toEaibDovyw8Znpzrxlt46za2mc8Yqlh7WoMi+pukO6ytIVa
0jPFYp35RgNjzpkFGSKWus9vE4Som+hH2qprVhik7GdjoHmBTSJCp466hq9bBS2Dt4phgULcFDk+
nzw/RWR0qeVYhP+t71//N/U976GO/vm9hkb/P4fXqn4dvy/w//mxf02xzb9cQdQAKQekxvyd8vdP
ka/sv1DQmDBPxBxfOe8l/tXi0P9i+4ism3Bx4N7zrPrfgm/nLx5hRZvD/bv+/6MWBwyYN4JvfG6g
4h2d6t5QFka1HwXffC4z8CR2tSOkIDSXWWVCZvZz4qEhANvHQTBbvPPt2jvkgnD6fYfU7xwUWpdu
YywLIA9pg6YkpeFoVYSsY49HpGsUqPt80AXhGWevwEOTmQRbl9FyGjTiOlF+mSssw95lMDL7SWbd
c4KQxedXXbqSZPYmzqdzXbkXFC/Yi7Iitha5nGmNtg5Vgjy/6UR2CmRJJ3J0zPm5uWiKRjy5sR5J
XtvQ+JBlfXxg6NusYUzDsS74wV6SnYrZe7hOhxyniqbrH7zJ0IBzaO7X2qgYAhe5OfSLjs723u9o
EyCtiyFldriep752l5NFotW3CxVPIMwqFbxw/8Olps04sl7vqr0dV5OzRSxHKnWUtvsJQ9MSvgs/
WNs91HIjm+1BLLmp+9hFU+kvs8Rhppg20wm1J9NVwwU2IyDONH2NyFtrObru9KATI9weddi4yz7M
wTkG4GbxhIasUguyDiY8Xw5VoVH42se2Ne07PrJs/WVr6leVU7ti2xNe8gAZDdcZ2G39qQI+h4dv
EPy2hAnJjVMk2lc4Tu4SeZp3YJEOvmhJPVwX2Hm33/4+ZHTVnid7nuTx772BHypbZCmTBiVVxlik
arMt094O2zB1W5hzkVHeEbk6dS3D/yY0rnxHZ2a5aBukzVfU1kGw8xI9nvikNHP5ays8ZCZ05XwR
0S+aIaPxYbLyfVdZxCeAEGk3wHXBtsBnkRvGIA6uXyaAu5bt6ZOL7fwQtSQoc3QM1zVK9TW+B/sO
0m3yUGlmchcU1fhUFgGAZfzWl2jqnA1exEqiXSjNQ2a3/hENY/AYjQV1BnKFo1Zwsx0JCHwRNzZR
HXPSTQR2em1PRp1tbcwVC2YZ2NphtyDEj4rp45T18HAt5gdJYphfe4m+g8Z9muYLnaH6vKmMwnjj
RqJBxZHk/C63TdCRIAxB0GjRJgz5EFe5itaNH9cfvNQdT+EEG9LM43DFbMo7pZCU0Vr7vbPVG1ff
VElgPiStE29Thznngi8fZusBNKazjXVR3zW59WQ3Ca5UWzzSChvxYXRlHzCdnbRp3cXJKfW9qVnW
upSb0JmQ7iqjWLaU6gcfIjgGhdapsDsm+S3t+PRcayZV1jimt3Zo6YfWz9wFA1CY8viZZjN8Q5Vg
TYfAKtmax0ZvUrrY5v2gS7GwSUcaFl4Fx6RHpYVgn6x19sAhD1XvxZus6YY1aXkYmIUXwUTvaw0L
uFmfWpQDN4NjkmqPfuS2sX0wB0HHd1GoWrR8HRO2o47mWleJW4btiuRT9dSBiDt5OkloI6pcPho5
4m5u/VTAus+kKXsqLHKwF2Nkymwp+BmI7QznVlpUAZIgFhLZNH6vCI6yHqxBlQLo0eJsuh+YIa2n
qAyuO7OoDpMo8gdN2uPWKGHlrc0R1DdmrEJo62ycqPu6pMHzGGQ1vvwMVy80415ftEkvVp2U47En
gf4cDFP96HL+5p4G6hDtizRHIi8nvzq0HiAcbZTtRAvQiUH6ZPDkF6KEVgucCfKtygDVVokRXKTy
SdyGCsgEsUqjY0cdPi67itJQRAbEBlMWTGDcbthSFGXLfkS0OYlyXYWjAfCwVNf52MJZByWHu8BA
u+32Q4QBOkuaYomlrmJLGAMHyUiNRSgznQ1K15RZUOuxb2NlKeMGAviQxock5w2FJEr01be3CGWG
fTdMrFEVRqAVo3aW1W72EC/UyBemymW2pYtTgc3GGszr0BsfdHs+UBNA/IWyxV+CAWI69aLvgOL3
mptd87Ufr/Ft5yObpIkEwzabThVOrf/Of/5X5RIlxGwn+8/l0uk5zH5ohf7zE/9UShIrmyltPK/G
bIOzXYqef1VK5CE7Yt69zPMeB9rcvyslDHVzbqZDugsjaUPQw/zHGgejDrWforwhjFdYBl62P+iG
cojvAXXsU2keCn7PnD0n9bepYyOdRbMZtWmHQHh01/Z4cqKb767GL9x3Px/C0aU912Iuf7Ktv0kx
8vo20fz5s995JlMdZ573LxzJJf33Nf8/HGX+K75z+FWeS7howFFU9qnWPuXDa/O7xLLfnciblBjA
Y1aWdxyinc5KnEds5tPL+2cx/4rveIEW1apL3UoSzRwtxf7ox7OQQ2IQ3Y4dv7ecctFpLlhN1sc0
JXkngF3//tF+OqFvR/sGO0Rv+lNGqxrsobHB8cPv8e2FIL1zEabs6hK/SFZ/figGkXMH34CCYrzJ
JhO1LAacM5xY4PgX8NLYcdBfnWhUx387dP+j2/Nt6T9fQ+yesxQWliNu1B+vIShXMSYmh8qqrL2K
kybeSXgBS2+YBsZ8Q7rNO3/8G+P5Hw/6q0uJ3AY9l0Pfg/nCjwdlXqYbGo683YjViy4m/5KVg8NT
41/vX8o3QVzfnhHDIGGKeCTQCm9zn2JTK6ai0FAWjQEEgcTTInxaTrSPDTEssEKWtEDQE+GCCU5Q
WoffHH9+X98+o+iQWbbw+bI0vXmfR98qAhH79c5JtWENPsyCStffv3+S8/Pw9iAmc3THZuhNlJbx
4/UkI7TBSWBUu6Yp9a3qA6CIvjK968SAAzsxTEbf5xKMUaXV5v1D/+r5Yf5hG4Jgu3le/+OhXdsa
dOwA1Y6Z5LguTJt5CXsTtVSamE2LPla9MUAC9P5habvPD8mPJ00+qsXJsnO2oIm+ubJ1ohWR35XV
ji5i9TlXEmdqKHpjrXpWHduLkw+mAHgoEvhCkAXazVCb3IJo0Lfj0PXbsKiqB6oWU8cqVNMya9QZ
E11nr4Ju6K/cSoabHN/hymzg3Oh45u5CzJsUIGkbAc2kSlWRAhIsCcdw8uJT6hQrNCb1mkSnbtfS
57exL+BbdHW5ijUYwkmBSCsu0ffReMeiX7URDadEHcH2yI/MBDLYA/YYnJBey2PiJ+NyAo63DjS7
OzY+fjl2aLjssLS0V3B/p3sMDskqKAKIdSRjSCNVBy9MidjVyo4W5ZRuLaO+smKjuR+y0Tr3Xqtv
tVYl65ym0d5KBWOVVrc2dcwaCpNePzkiTtdkZQwMEYbug6kafknsNFcAEsY1glCarqDU9BPR73wK
aRsufSSAZy/q+s9uk47nbmKXu5TewGPQRRwvnF77THpPQUFjYMUEf7qXvbRBxtNJrKoBEaLNqO2r
VlrzgCdKmgfXmOHbg2ysc9fRLFPzBcYrcMpHGwhx2qBqlaMtUSF4DUpqzyTRyPJTonIyVSz5++Kl
azcKAGukXUe+9drUAIn6sZk5rMO9NRmvLka3j4MBjtlqtRABBsW0GEsuSRXwImW99Tqhw2RmQGzQ
LipZMaKk4CbYbIceWsHvSxn+4RtCQZi6dv0Qzo8+jCZ1JH4qOBVp7yGSrPRtW/fBuU+MaO8zEVq5
FQjb3mCnmjOgjxd8cPyli2Z0zf5L0CFJHP9gwyLfzUHAM0ZSLssyarYUwzFt5ai7oznS3jUovJZT
5dY8GE4IldYH1y8SLz7AGCD9TcvbdecS2uGQ48kAydS9VVoR1oWgXl03BJ9Ee2p9pApJiT1zKENk
8NDH9A+kxfvn0acVH0GRY3CFzusGAkjEPMIXW92qvBcUsibeOEPzro3exdIZB0qxY9MZC0WeZ90Q
VGSsoIXIJb4/64A9rrwqkeoTAjGRtuEW8tbTTGLOisC8VXrqX9HOeUDJB3lKBUgkBrsTuzZgvAeF
lI1cC8BsWMZh4L00A9Y5t+jZQplINrf5GDhfrSh2vmI9ZrOq1f2xQjj0EriCMVRbWvqCBphYa2hR
gQm48/Xw6LiuAIoDx625kjRnE9IaC7HTa33coSs1rrBUWRcxxKizyX7AlUkMyZbmMuOL3uqfHMPr
PqHxDc4iLcWuC+leI7MfwiWo3c4Eiqo7n3W48IcybdNrXJr9c2WaGWge370Z9Mm8JG6DjqausYVB
XLCPvYFmxmTrsvGLyrnFnJU9j4Hdn3FwDLcD6NTroS7llT6o8VSXrn2MCzPb6qXdLRH7yLuCeciK
XCqyznvN6Za2MDhAqc+LV0Ka/bmCXo+eDtK3Ik9FkunumHCIvF58JbKsoZXHJAEvcBeh6pb1DsNh
vY61tCYOV7eRI7k2zKSi3jY5M7BVXYQ1zILAWrfEGR2TXk7A6PMyIOQk9fwFLT1+p+0F0Epd5YHs
y6YDf61/MfR8OozxWB6Z8aHjsz0EnJHMSFKw08jdo3SwN3kUyRUGOXdv126+afDPrHE6a9sK1jg9
cMk4c4lUFTSrK5q1GKtqr1Vi7kii9d54gacxMmi9am0I+HHYRrkOQ06BY9DuuM0oAl6QxjQsY118
TnLL2QaRGJcNq8AnTKmk/HVK7cAKdK9KZNMGGJZ9NDI92/Yktjq0FKLiuY5z/aVR2aycckPva03r
5mGsQQW4ugCYOP/vRiZtsHkwXcbBhzE0AWe86adoQOlMV6xz2JgyiOHOcx8dRgk+ncdvh8RyQvdT
1iDVmYe7M9CxES8x4KNHNTTgZ+xgblIi1oCXJccTnuBoicjf+GBlg/cxsoL8oQvTdA6RoTtlT946
ZLPNt1qky74ULo2NNj7IvH12XLPZOwptBXz+yF45XizmzzudxbHqroms4fJlAa2uCojhCUNBd9K1
mf036vmwA9Q7Gkj2dbhCQAp9mDxdeohqfYhJNJGExZHaQ0czK/iDxSCnnRvG8k4favHU1N10Dq2a
W1fM7Vq7cDLqGUlnElQfhw3nPKRhYgqvVwBdc1VqF6zjdES1gVvvEE1ylSuz2reJGXxxdf7vOInk
XVpJ++jpubtFckKjofRpJJTUm0gObFCV+HweeoiM2ywr5R2xTPTxrMpdOk2Tbf25r13NH7va1dGM
MmK6/dZDZvTvLnMXMxPk5uHWBArwrKfky2YFD7j0LBqVPNFLJaxmnVoie434hu+NWtSXOkYRy4Pk
32LY8G+aqHWhBeAOJXAHIX5VZFsHfdlTw14UTltoeCBRMkpxgmPRH3tEfDRNDDFPE91rl3nafTr7
qaemifSVo8l/7lPcDN7XUdDwHiyThiwSjms6QtrF92IWGTMeDxECgrVmD+HHrK1xquUdIAbR2o9m
O1qPXTUHuNjFeM2XCq1gGWirMQw1xBxWsFPoAU+Tr1UfcLZma5S06RrbJ2q4+ao3NsPqvHacGyMW
G5GRv+5WdXS0q1xHzBDkuJanfpnzIG4GOxdHVcImzmb/Tzo25rooQVYOlYAvQizjeGiNMbnxnHnG
TjZUvPz2LE+OPp1dzUIbQHPiODnhcK3qbFbiKR+EfNOVoLez+EaUUbrHMi+fXM/rto0nmIQ6IR9D
NDLc/qmcTnGdT+iKafD7vWumSzHGAUsgA4JAC1+qeByuWRRGpEledqOqaaKrTHd4MdbF+ADiwwb/
MvXReoJDv1F6jMfLpcffxiq6AU1C1oNpxDCyU/sY9RNBZ6BNcf0Uw02paj7dOKObrcKwYuIqS1VM
S6zycDbr2MD5NnV7nBOQdDyrLk59Q2joMlNZfkFck21aFhxqoEzVR90ympvSpw9ftQS0kGlK9nCP
Sbb0vhG70H8vyjjTLrUQOWHJaUfFbJn44DqWDeHXvJqNXcAQr0OGyU5Xmouy6LJto2ekU7Y8TikB
JQfTDfUX4VvjyUrLGrdFL15G1zHaxcBYAkooI6Og5sUkdtg4TEM/nStycg6yt8a104zVHvUCzTlz
7AoUVK7shgWhJqx0OASns4A8TSy1meRsSPmPC0hgH5KnF3RXbaNFy9kIdxuZOlrMfCq9Xa1H1jYU
5rSPHE9uezJf5jMioW4wGLfawTXOQZwabZjeYWRGQuJE2XoqAg3DSw7p3rShlJNaByPTyMo7szNH
GtShdvS97rYtRgWauCQJJdJenbJRG/JGnswWUmzCtP6K04hXichZOW2/rjaOU/XrPEHY5HkhkhDq
EjSvdkUeSinUmgoxOBSTnS4bzJ9GEebIPmT6WWXa53qyb/CUmBtjIJ2euq3cOwFMHrC3lz4PYP07
EH5ZrWCfMfnX56gVNFrVBv/Ik5aRdt1E88gkxLewQt7rz+FDhH07jbbH9W6tE1Vwvhkwd6oqgzhT
p8hOQ+GdiCH0l3HnA6YPE3w0OXac7TRFwSe/7exdPOgJaJV26EimnPK7wpKwpRNfYNtIjeAYRLK4
RS9bPGk+QGS+6hC1taL9TISgvFMk+w0rdFzxHl7EdDAQwmwtCOY7LYjhR+V+ad1aTjXdRr6s7go/
jNddClgB1dfsoZmkXA+kAzA1CfAyuFO0AT9NN04k4cGP9BF6ZgPzqZrSow4zdjfFie2SJJb7zFo2
Dti1mKCjF8p7/ePAdvyku20jlpVh5+eujHDdG3nb33rTmO+bEUtUpOHraJAYr4wUIdgidjWYelXF
XVwNnv1CnAss0C6YxhsLuPc5s0nvRNdVfZSkAMYIAQLjenTc5mOcBOoQg8p99EYlPKILW/NBzF9I
qaeojgIn2A1Z1h6D0MHaiGXqMWtMezcQFktan98de22MPzekpmGB17m5mKy9204V6Ze0VkgYpW49
13WUG7wihTrosWFd4eOku6LNujb4KQATw9pq14S2Wvdmhusy9mzCl0KomNe5Nr7GnXKeDLL1QCFP
EJ38ZNrYdRKRlo6Tihpv4lMYpEG7aKEgreRYsZJFSbSDcgRViqE1t5ev7WFkVwHuwJwYhjpwwQok
hmF6wbCKgKKhocUqv6BnS+qQO7Ip1otHBromAIKE7oWwVNlC5XVB57syvZBpl181U2LsMdxRSq39
dPR8E4JP4bSgjupeQxlnGVJ7HRllEYFT2Xvmis5DQ+wsgvrW2bKLmePUQjK7TK254qMIIQfQ4POg
m/l9VMblU9HCxdoWGtqxRUgaULwlGdODzgfVgs1Uk50tUyd9sM7D4VOMoA4DX9WDNDfaVwZuPW5L
R78aXCc7mlS2n7NCIM3y5umMFl9PObRP/K1asm1iVS57btVV3IHUWbhl0VzTCPSvGQBCp7QSiPqO
Y6Pa8yW8kioyiIdQXxroN4uWb5q7aBWzXtNrpoObY4qJBU0Gy0+Ch6GqTT5cSl8jYfHOdWHmL7TB
PllR3X+yMGJOuBKsjZLYYzAP6NuonFjZC80EHTSDbEDXzubIsvpgC5K7CCupNzJoxWbq8BPYPPE7
zcmtbRBIBcRKjiwuVav2QeqyN40M/wU6PQwOVsKFbWr+xvEHdWGrw/cExsUnL1ViVfjuozVY/VEU
urHltxigicvmzgqtLyphnNjR1HrxibgAMNY7RF6YY3Rygeps4WNxxQjl3sJGna18LhfF9NSj6gLr
EnY53sw25IWt3GBBYkK3HAM4ZTbQFORVxi17kAcW5PhmKCZ5KEsmjU3fSOJUMu85d+NpmVS9Q5uQ
sAPIp+BGyCBAbVlR3Q41NkOQ5dmHDDsrFS6o9DRt9o0zpmeCu+StglqzkkjcrnUmgV91P8PliAt5
XbWhf/CyoL0hgiK4SnA43xHI5GYYliZPaz9GmYYdPa63KcvtuiO5lYnuIM6e1yKI6ot2mSOJQOXM
yLphxZ3pvei73E5sq6S9+C3O2UEJeTDnPNSmrz4FbqZ2EcEYy55CECSP0rBYut0VpZw69FYKLcQv
Y+rfPPvaMkoHm9wUL2YZFR9rdJ1IR/FAxC+5iCJx1IvWOzq9F63olpBf7dfGpTW0AQowMEP3Okwg
4i1zIhOGhYmN1t6UGW3kpRNU7nU2VsklS7FxpfYIHyHEDFzQwrog8iPBh0hlMVGqVKVZHcTUf1Y2
uwaov+mSoopNUtkhgNbjaI+fWl+zndhphhEdeP9tFBPyAVn1SJBL7u+oChOyPp3PtcGMF00mxv6I
7yvJiDtA9s+KLQjq7Cu7EgCEExweijaR1jr6Zwv7/tHKSbuRJXHODLirGx91W0c20NeAkeStLTTj
XA/u13KwtAefV+/eMFQVrOya8GRkpIO3ApCEaCyz861wh3ZthCUxaI0Pqhss4/X7jdCfu6AYkyzE
RfNwypD6LN//bpJj1q7MFXzAnSqj5KCn3b102ff7kt2tq2jkv3+4X3XuTYYtwsKs4Ojmm06zj0JU
15yRw9WNfSmNcssOYIDCosRvxi363Dn+sb/Lmbm2YVGGO4A+3naWUfT/3dSWU9t/rr816Uev/YLl
Bxdsnegn+kpiK51JPAdQYNDI0I97/3R/1b3HQiGRJZiG5fw0PVBmM/W+qHZgDKwz0b+09IiM/s1R
fnVRuYVzD1sw+PzW6f7uHlqDZ7VWygzm2zgEDjz9SJBsC92Kit/cv1+dkAU3w7FwUTBinP+U7w4V
D23WjdDadz2O+ZXRk2Xs5J/+/KJ9f4w30x3YPAbqXJ4RHa3oBCPfIoXx/UP88uHg+dO5OTweKOF+
PA/XjRysFU21I7CYB6EVxsHIM7rlXR8+BRqjlhLlNpnW9Fohi4o9lL/fjXZ+fvUAvmAVwCxAdBkP
6o9/g2UXranlbrnz9TnfO29IENTjElpWhG66cLPV+yf9873jeAoyIoupgSPozbtHHJJw0B+VuzQb
WKXkeFaBrn6znvz8LGJowjRp09+ZEbVvDuL6ejORDViSuObPgGQctnnRXSlcfr95FH9xpNnWZCsL
FI8JxOfHy+fWIdyL0cl3LG3gBbT6CMbsUlTRw/uX7Re3SVf4pHTuFSvXzM39/pGXRRqbboWpbgrF
ukqeNYc0gjhb4rk5vH8k4+dho/nDod7MbdmoSghhHKolq5uUTQt8XU+61WJwu3ZddkiCRrgKW5sm
aLUqLVp8SCu9jxj7wSFMRkNAhKJLWLOXTiuTLlhqTfHBdqLi0JiDtgc6Pp28hGLQKhFTtj4tY4qr
Zp0Y2EQPqkuG6z5vaWONrUyW7LWx3+An+c2JWjjP3qzNjDJp7gteAN203079SFnVTDdruaZ10Dy6
MBmv9c75MEoZPqdTS1pUgtW9SryP1TDbLeORjdMg91Km6xBP+VIvCYMx2ntiO7NlQwIWufPg1pzT
5LG7TPMY0Enc03QIYSp6VQQYxO/htlSdoQ5apLXLwcqtHQOuftU0jkEMGmnp7OPVVWyhZYhilyAm
1uuVi759Uj6ROZyhy9UyNIpHokRflNdnv/lo/eJZQ7imo+Dgm8V3/82z5qUdYXjVyHWJtPqq011z
z10fdn6E3XVOz+p37z9yP09+YaIoyyLTEdkLVOkfH+4yt4gJQv+1c2ccBU2XdF36FVkgZtFsPTTh
V0BOxMUKXf9vhdMfzPBNxtpCSvgyaJTfvr4VNDstaGW2Y687PnWy19HrF/oFP3b0+scnyZSX1YgN
D/+8naEzHKHoHNsMo0VFa7TT6eTTDq4R4GXVnvRX0MM1U7Zx0Rt07t4/+C+WKeoqUzIQQyLBsPnH
K6xin/iBPMt2tQc0peyziz/4zHujsfrjMgCTJe+TQmGkXAhlPx6JjWDt53qU7AzHeRzHrF8ZDmSe
KjHNP35MKTcQTCGMQoYh5JtzKuo8b/2uJWZGb0ErS7ovZnTT9zbyzlh++dMLaAnCr6hvIJcz033z
iGJnID0+IdOG2bq504oxyxkk0NityeSsf3MNf34BORilDaWBzVTr7eerZEAcyDblzDTrEpjaYzk5
X6LBvPi9/E0NMr/LP9anHAp9juTU+LzYb84rNYNwzDSmsWaRrE0aJi4pviA1ydmYsg6qP6FB71/J
Xx/RpRR1ZwHcWyuuZhUK7i1HLPXuEOPGyUfsYlVcQuqWwDNa4+r9A/787Fs4A7h7c9XBEd88kXbN
vqPByLnT2vYAAn1nWfFNKMVvDvNzYTMfBo0MNgiqj9no8P0XunPEEIb86l2nGdpFU5m1J9JNW79/
Mj8vlRwFz/QMBhSSuvHHoxBGNsDy1slxNdnWst1bJlH7VWXyHJUNUzVnWppj/ptV0vj5S8lRWTgQ
lNuQ+d++ahiVGhf9S4wPE7BDj3OYb12BKnVwGdVNGZOsmqwSY6HluHKXZGGQ5lkLtW2G0t8nDJMQ
UqvLNNrlB7eNY9I/CoqDuSzADWof0cbIe9fo5c5v6n9UrP9xjf/ljXHcefOjO/+PvTNpbhtJ//R3
mTsqsCWWw8yBIClSkiVRkmWrLgjZkrEDiT2BT/9/QLu6bVotVfVxZqIj3FVly9gy33yX3+Lbpx+G
uWSc095EehUBePhofnquKZodb3+YV1cZuErXNyC6/JZyFnbNMRJV+Q62JLrZ1bDTM+Pec7v3spZX
NqzwHXJb4hDWkScLQLg5dLi6JBApCWtNC+O9cnS1fftpXotAKI2CR/Qoynl3vy6zGV9sFfVaBoIA
osfgckwpAW+jbfMvQ2r/8yyamlEYNkcGykkoAvx6Oa9LnAHURUbtGD4v765JnEPRhJ/efqrXNg/e
zI4LJJfC4HQZqzbDVKVi8+QJJLtsMuizhwJqKyTAJhLe1xG+5h4US/vOUfVazAMRa5NX+68UPfRP
9Niyh2wXReZ1V2pPcxptZfog8W4lXL9ztdcWPGUPJhoI0Hi/oQVzntEF9J7tZCThS6DacBjNVFu/
/TJRoPn96OAluibHkQXM+SSu+r2pcDmsM3jio/6QxHq11UAcIwGAIhYNenf8iOZSFfRVhxLKVGbY
X7nWWewB7Jon6TBdSuXaqEPI1iOcl7jv0/eq24Xl9tv5BgfTWnamJch/fl1ZTdjqYiwKThtl0yvs
6iejg8kEtKRFmdn71ENpCZA/oJNZ4g6YjUO7x/Hzz5ix7uzI7lyOhb2niwTtetIk9mU8x9sv8pX3
yGCLFBR6HDTW0wMxd7mHRJFuIyL3LGcDiTwJoirMGWJPT29f65XXgQ4tGxv9AJCyp2mMaUy6bnsd
qX1oPOs0HKCl60/thL+W65dwlYXTvZNhvLLpDIO2PRkNJ9ZvKfbQ5Oi7RxWPl4rPeHFogcnonmZm
M6NJMdUf62as14xkh90/f1YMSP2lI0WCeBopbc0Hc+S11Y5a7ap2xgZ4bn4AlhzB8YseECON3klt
XvuSvFraAKhJIJR6EsbYK2PX2nW103QsZyfoc6sS6/HDWPvFrnAopN9+wlfOHB6QHMriYCNZPNmB
qKjacVLxatUQAeG2m3Gt11W9toDF/TeX8nXf8nDaAXR3ciBI1066AsODneFX5Y3Ia5R43c65SHrD
eCd8vbZGLTbUwkNYIM/mr1t2ABdTznQGdij73vdx9SJEfZ+3fL8kqg9eX3b/uDgigEG6MIVhgiM/
3YCGouEOR7/czSaWebo73jZ9s5b0Ad650CuBGWyxjgs4nWdoHMv3/KlvKecRGAi6wbs8Ep8ipc68
ub5/Z0lYvwe8X65xsiZ8LYWgaXMNUL3GwqWU561oxa3ZO6iz5GPLW9THlRgbHDudNPpYIUcFYoCB
DfS3jOZfDySqTBj34LSOc71hIPM+5bvE6iB/2XZ8MPEFQPV9CB9DqZdnaBMwm8oWk2tcD9C89UBr
60rdCAMhWDRrQErOfgHiojTabFsVLbYfUGN9CigVXae5TnZYQQkss6S5jrH0OTOadtrnApzWYMXF
hwEn4J2Hon5SZW3AG86wl6ZvuopBC+1AKCG/Nc4SL5ZYgBiEgVnZGMkuEq/bt1/va2uTUxwZDCgU
zClO1qZTt3U3OaxNsIJPteqePGwBbeQe0MRd1ISq/2LbkXOT7NG+Bxl/cj08+craiqZy19Xx0nO6
Gs1sP3blO8nr7y0/m14pCH96mbTpjgrhPy1MWMGx1Si/3IEkPUiZNACHvK919pFJ1Aem0kEvzD+j
pnynZLJevy5dWt4oxfVpQubLoi4ksky7oprmz7HSYQk1tnYA7Y5bD4NzahwUWsNNlw31Oi9BCmE+
RCCvzWEvgPqKdNT2lt7jutLZZRCCDmPByTOIH4yx/PQL/hEU6go8UObOuKN2hkPvBafdyAjvsC5q
A28W6G93qY2WySyjTcr9oCwqXwB+Gzeph32ORJl3C6OL/16gzRy3XbpxNdd8QETovU/xWkx3LNYY
3HgCxSIJ+HOMSPRWFGU2lDu9e8JhdPF41WG44iX69kp+LRb9dJ3TxGiQQ5FXSOPsPJHrQUm/ISji
ePP2RV47EB0kbZgrMG9D6OvXh9FrdDFrXDZ2DJ0QgoBWTTH+qcrgocbt9A7p7NWL0a+kZvFht50W
EU5DMCqRiAOE4xRUovPZYMstMDAAlV3yzut7LRA4tP05LaDs/Zb85tNkYeLULbakzcFERQUBr+kT
qqMvXQJ5K3beeZPGa+vCpUqigIVL5Z7OaWYU+3i/5GmpymOoHqaBxUQz7k168WsEZ+IdwmBdoKRv
3SZ6GO+mCGQzEsnlBy/yoGNX9vTRhRcARjuMUJZ++0u/ensERNpI9G/908A4qrDVcHkpdmMtXyw/
eojN4S63GCb/F9fB0RG0O+y135KDdtCmWALK2VGJSro53VM5aeO66pt3DtLX0laaU7DX9OUX92Qf
WqMPjBsA1q4DOB634NzG8tBU4hyRhuu8qu+L3H+nzfLaAv7pkqcJazrbOAwKvdhpozqL+urFt3MQ
rs55Uw3v1By/iWV4ODBSkTIkI32kFj6pi7rRs+Ws3IIwY05/drH8NmLIHmAX7yHznUaBJrUkQMqp
3CT1AjjWjAWe1YD8QQbjEw4C6NnUi12QCWwZagtkg7hrUCHyMREucyR/w9bbKnf0HjxB1Fw56FCv
Cq3FtiFbWpuV+U0fUVJwKw/lUR2T0v4KTqLcdKR8iTeMmCZZyaYvJvNOgrzksDfFO6vptV3sL0xd
Whys29MBbJ7LtkUVlcxP4sTYzag66fYnIcUFPdNPXYLr9dvL97VPvNAzYAy6NFtPX7tMjWiqSYZ2
Se1rgGP6Bg1nqt+1hRZpuGoXYOrbV3zlETnXF7axDxHnt+rSdyav6Ewr32U+6oNxg+FFGZOhTWnV
fkqxCNiBQ/ry9jWPeI2TrjLYG5OXyhaltD1ZXZGG4jzCscXOKWY/iMfeubNjYwhKC9EJvIHzB2nC
h09tIFtHnLIX49VX9HDZO7BEZ8gyApl956ZeaWKCSqDrs0Rt97faN1JixlKYHd3OIXg2K7K3oNKs
bRs27ZnvOhiNOwL4lMg3ftTEwcRMBvi1bazfvpFFSvi0J7HwwoFjIJbJoM08ORWBRjgFyhXwllN0
So7g5sTK5wMAy1Jc8LncfZcCSYRn0a6inCYySnvMUfE3Gm5Ga9S30xTqn2ObxNvsZv0zaXGJ6TtL
CtpEtgXZI87A5b5MIDIJ2cPGdtJ4A2DQXjda2e1ip3Yxm+td1MIvzCqz7jKrVNdsW5go2EHNn2Kv
989z3X3U+yl7pzB/7fmZgMFBd5cJ/WnjiHZbmiMay/PnmbqL4efulKOST+gJxtu33/VrlwJ9CdYA
NjrHxkkCwtCprovlWPIrrJ1RzlwoPQotFT/Oo09vX+v43U5X/dL9taheOQZPy/9Sc/J+LBKKg0GE
3qpjYAzjY7aNMwQvhnXp5saFUenhTafM8co0tehgdtiP2FYuz2SJ9Mzxhv6Rb9Pf0+a+rwCfFv/X
+DYJDrefvt3in/zDF3kxaP7f/+vTEz41aPpX5c9qV9b3H/uXhDciDqACGPZBFYK/TmD9oeFAP+kP
6iQarL8oXfkodjP28ZmnwasXFrfwl34D8lgIfNOEhKRus+uN/16/wfaW3jVdLXJBKibmkSddphmO
QK+1PQ1yNKbmoMT4BI/YdpHnGev2HRjUr2nQ8WIMzZaj0QfhAmTn11gVCWXnbgx9NdYm+VjalXk/
gdt9yJIOqUf6rfIxouH45A9p806YePXSCzgDS2iixOkkOdEyQ3WVYR9QweXSeH7AHplGxArc3mFk
6CnEKlsdelbQIqn0Xqb561G9PDlJtmksMDNaUUdx4p8LMdNKEPxJc+uQF1qGSpI2dHWg4x4sz5Nq
uZwqELP7aRnefI8VP7tWnwzaflyUpUL9ZyCbdppGw7gK+0j65kGYpXlfgtram4Uz11tybv9BdsK7
tBOLi/dGz6kVd333TKsfgojm8B5qZ7FEcaNU7VqticLNTPh5Iv3Dyi+EhGpcDDKcjHUyL2YyLUK4
8VrR+LbeaXT9mnR8fwzqPqb/9NQQwj85/73Rs3r6OOaBZhJrpc9BdeQg17deq4z7PGFCqTLRPr/9
9n7tJvy4qs/2cDEyA6q7fNGfuhio67ipEo1xSI3BuC+1GaSDW8bf9FTVh8mY1a04EsdcP4b7EffJ
2dvX//WwOV6fRizjXwRYWTenewWGcpnVMEsOjuaoW0jU8nHye3UTDbXxTv5u/JrM/LjW93EZFwRQ
8uuzwr0ARK/3xgFQjLrVJGOJ7QDtOV+FltU+q8y2nwbdWXanjh2XdEc2y5HzhxWX9s7nfu3BaWkS
LQ3gVL+tWhOCtl/roX7ou5pNYrs4il2aXYGAbFLCHnv7Nb+2Sdwlczr+D/DHyaFuyFRPNGswkcME
e1biETwHCJDiIuLq1UXRpDbWJ211UdcJqxyavnFVDD4yflOKSdYKq5bqQoOkdRvVAg+wDJTJJQ0m
f2N08B/jGNkw/taUXSY8QIrkCvgxvpOYnEzPjh9wUUsELMNR4bNif/2AaR6FvTf5Brj4VK+3s9s0
u+O6QRdaPjZNoQW5NxL3Jl5g4Y3+JkowFAmYs9c7ORWI6SYZU+2zeZzzZm2EevvsNbq6fftlvxIF
XVRV0EOyudnf8MuaMvuBBqtxELPLCzm+ZkM28tHQQ+O+zpv3VvaiFflTdgw8mfwcwRMGdoZAd/20
Jis65OP0bGoPI5SPC9EV4gmhn+UXK8WGQMfwobGc1sGSKQRCpQ8pbjUj2th3Sb+IEFv4kT5b0D9v
Up0IoGtsgoSM7dJe1sTxFbWcGs4K9Vj/sh1cTJuYHl0itGjvAcEbV4uV1zul/ffZz7+TQx6LJ+E7
W6xciqLfWmEz7Wu3TqboUPFTgS+nuVmnrpZeI2M9dbsSibcRDP+AT4YpNPD8yVCE8daPUUle5Qu8
JZho7gRmamLNUcDaG2CsLql828OfpK6EqYhI/byGOOgzxkAq7KPUsN1a625VNejmwr4Hko0iwVo3
dXYGTJp+wxHgAGtM4fTYkOcOjFfiC68t0ksqtOoKHLeL3HvVoDwnzVz7bExudm1UU/5VR0l/nZMH
xNjQzDNqFWqInyeBp+I5pLNynXSc3+e6D2IK7l8qb2o9RhRaxT6jCLtq9bVw40XzyHU1+dCXeTqu
IcC4d/5RcKTGd9ZZNeZQD7AtIsaFPqyAJnA60/tSazg3ByX0sgxDibkzV4jDwUg3MbjT9rBr7Usz
6mO5kgPiKRgN4G83GH3g4szcHLQRA89VKrpSBHVrAlkp0EuQNy7iek2AuHAM3TAd/YcIS8MHmbFG
0GtjyzkVillUFIhQkxr4GxegMXcHueOp9W3ShNIj2pACEogHySnQJsDhV5Pb5vE6tEot8NowRyYZ
hJx76WVu1nMyG7HhITVX9rorob3A8/jgWFV9qSmmflvEMIo4w1tceXs7SpDhy/zuq1dmToX6cazj
Rps2a3i+Ea5idrNtfOiOdSUfR12fPxutl5ybg6fWSxvoy9ThoE7nvD2jXxBuzdmq/kRKWHymhShW
tSPjZxaKeonQ4MNuK47K9UKUlUEcwiFH5U+sC8MdAhZWoVtIiJdKeasJcWG8oLtnu4YqpnBCkvea
8JLsYgAbhEMbjVlIMi6WIXD0weNMlbsuXMQ6abpPNh2qbGULPzT5fwORSCEDKIaaAVV+QgewWHuZ
4cPFjAfH4nYzEJPrqZ4KD4r3kvzMQt1WWcabLvEVvdAj4BFEe81+qr3RtTY4aSNZg/5j/lFpjKtW
U9hxKNDE7YPB9YkrfkWsSCZWJfb1MHG3dlnzdyAHLh9he/NlHQNU7ypJcXfW9cZbj/7I8iqjlk8P
6vGxQbfl0LseEpPz5NhPoaAxhvII+WqXI9CQFqN4goflP4ym2T63c7w4rzkEHps45NqFvylgZber
mh3qBbjJ8Ndjq8bNUXFUF6R14QM8aG+dTUV1gXOLeV/rYvlDQIIvuw7V2xXhLEQfyvaLaG0YHf8l
wgyvRWUdxryp6/yH2cXebusJXk5jclKvutziTzSxkV4hsE+I8WleXEZ14V/6bqVu6WVwqGPYqpDi
J0aSw3mXoeAQdVOEi8LKa59rf3mVi/z8fdv2/OPxbou+R/7dQg7npiLtNCEWJtNNfcxFstyxm+uy
wNEyigbjit6PcTXYZIaTOS5ugLO/gRo13fYJ5YYFWhyLWZPjuVNyXE9L9jiZvHujmHgotiRXyuKh
fYbKrm7T5Z+GBnEPNMfIPvVsEE9ezikKKKJ9ljmnbe1H9WOaYfkaqKSdbo+JwpzV5XSOdo/zdBSr
TmkzPza07DbK9NJnSnUojwndpT2+CPoVwvRa4FQh6t1NnlWXLCO+nbncbVnVHDxt1YC55Y70VCcJ
rzBM3UBVlY9YpnOaTxnus5uQZsKT086Y4w6VA2e3bhvufOBnBqBkjEnRm0GUIDgmOP2SqmRz2j1/
L36sJfWZUj8t1jliO3lga1md4pjk9Ij7i8m7jJEceooRlMBvcW64QWlCHUPwo4TkLwsj/ILhLhcv
j1sISFSqtoNqljSIk6dbN+PBs8f2OfdbvpEMPZI7/hWaBQcwDn7EtmopVTB5Tc6MySAxgCK0p8k0
XkGBd/c8TnVhDZpzm0w9PFl8tbnboU8WCg8nbrcsT4Hd3ZUepZxMGbo9zSYdkKiwwSj3H+QYMeEo
0EAhS3NKVm0fY9MLuZQazAwFC7iDRcuvICUe1JC492jooGHR1Tq6u6bPGsnjXDzhzc07xdGW5z8G
gSy31O2UlLyVHJuAS9SYgLv77DDpLJcvxs4L8GQlHesM+YiIanXhoyoNm45ErA4tvipkfG+dc5Dz
HkZSUL9MwgctXmRupsh5agDcXGQoueAfk8yas45QLbxsmpY7Oa5EXGWN9mJMCAHCQJdjAxWH4GNH
ddTe+Co0x72HMkW4Smub0GSiWrorkC15SLpZ+ZB2ZoRtZqcjKTK9xQ3ZRM/mDgUm8WQBFr03NY8a
wE8pQ2wsTe9Hq+ElA74xYP6GqZ+vpsSXj04k2ei1Maqb4xNyEpEjLyABhEqb5OxY8M6jJh9nBkH3
kOvN+4TQjVI0Je19D7//vmKWYm26JUubwbvn3zPG47E5zTorCj1ma295Mc8+C+lflqanodFrFusG
WaTb41tr5KD8dTrC0V83y+3EDk+RJaH9JPuO/Qq5H02KrGRbzZMVrl2UlXHBYXixEgjVP8N5ZnPB
hSM6xm0jkDZhyePykYXqNk5Cx9qMg1vvpkTkxUZAtRS3qhnLJkAtC+Ysujviyca1McGlPfQfysXS
Is97e5+halHBVvXG/LwYHH4672OzvmMuxpgcySpe9LwcLmAPltinAN6dVZFBkCcVQUd8M9sd9Upc
sCaOL+B7LFoK9yE1iQtLYG0i5KKD49oNI7gn2CrIZqfcZPpCxz48HNenbfbhGSa6/Rm+j3b2we09
loin983OFtlwHkcTWv/fF0SB4tY36Q7ZEBTN0OzgHPibfPH8iACZ3h9XhQP5BMFdjEmvHDybacyX
xlUqlm5D1mrIOjjM30sUNUoi0TRnWuDWJk2IRqTJjIokD6TR/pS0qQWsHXvk9yYSIXQL8Ki/Mmwe
gSUHuSJ2qnFt5BE7yw1rTpgFmrCtJIumTyuivZUY1+AVUESJZxa1rhlmH0AFbnbHCGhnuMzhKIBT
cdChhcjxjeovFkfuyLZZDqByNUXWNAZy6AgK2JgN4bbWPJ9w1S93m/Yd28yqJ64byUndFpPdOCtJ
qfbgq4nET0Q8N5rfHqvbtDuNYUWjDEBPSDHeDQb6LLuuH8r42mjxHNqjA2RcNfrAXQjgrDMnf8Vq
141wbu470ZOERFrmPxy9UEp8Znhe1x9v7N5073pPFdemJb7GWqgFmZ+2OxBWmEA1RPYxi9JvEX55
K9fEYMlyKKkR6rbYwIrjEXsKTqQpGeego+Xpk6FMzkOWAqoXCfjSVSXGWSGWl1po13jTABcasTHE
AYt9ImX6wcInDj2FShR7Knu1Kw0sjQI0/soPYWVV33yVky84JoAe3KVZYU1rdt5GqbbTz+sl+J8z
0KARCSicnKq3KyqYHN8RrTLpwtBl63HwDkftLkqhxwRNIfm19g1ekiVQj6EDOK48CzonWn7EpXog
x2FiqG7r2FO3WYT/KWJ0gFDqkT2zFMoZpPyL0VpI7n5cl+FKb7i9cHZpNpkV+YEdjtwpsA/+vjAm
bs+4ZmcvFTkmp4sv/U26nOEGxicPoReygo6FYYRCtDzP81QS8jpiWuUoN7ygnwZXOK78SxhI9n6U
vnHFOMl/QDCqfTbnCWlnCzNzajC+a+mYnJ8N4MNdX0REq9lJzPuBKwfHuOmnGcERpJ21meqSPZEv
+aYMfe+yaLykWIeS9tWobInYBmIPVUfca2q2EKgUktRQw+i3ElsnWiLzPFecQNR2MdSUOHmxB0dv
L2B1suO6xfhJZLV/qX3PMGp6JBonc4FZoL3HjE939xRsqoODhugI1kDNWdW1/TZfTCmpVTrxpGcz
OHbPoGUnfKISfR5eiZtqHBthaFJJFA4HizNMzn1Mx3o91661l0KxH+ZoCQfHlJm59jcnQsOTLlmh
b6OscL2NM3XmlivH91guqY8qdubL2J6Sj7KPsnXLDiE6U+3M6L+bvbtynUI3g8mW2k2jOZUKSKdL
b2M1ltqZkdC+9tISz6nfzy8I3g3fqly1pNtjHmG5MJlw/1v90iApQ7reGz9jSuc06x5LImS06jLF
+btS9bmwVHKVuBLBj9RJPhWyi+6YBQ4qgJMzrbNW6GegR6cr35LhR9h62deqnvibRKknLZly6Uc3
c6lRseZ6NKJW3uk4SaBB7jweuzP/aMLzN2Y3f28IdPZSLeOR9nQMtNzN10pODa4rXft/jr8dvVTL
VOWXf9kcnUgO/Usz3b60qDT9pVG9/Mm/+5s/5jTv+BXSmPcBPv5LLPq3Cc91lj/RS3j6eb7z44d+
zHd8+w9UTuhXYnJCzv+zRjcda0Y5juNyxCyErwW29MPOxHKX31l4vktr+18DHsv6A4wTI0aHiyw/
5/2jAY/4tbtLy3wRMaajz3h0URg+7e42Q0bj0THqcw4etbbsfNvFQwfIsPMOIi5jzLx8jEhXXRvP
YoOES699jDuRPjN2N8mFldbIuaSGRMKP0K9ZzX0/1fmFF/lJetM5ZfMnCvnuo5id8jw2ovyiG1Nz
7WsZhF49SYpzU2FS4GT+sO6GtLxMZa1h2BrL6sMw9XI+KybjLMKtLYjm2JTbYhgb/3FIwNXvPH2R
FurYEZ+HUfXezYRr4tqtkvgyNXE82FjOAF/Wj6SXPA2dFn/uGV8Vu6qpYNnKts+cy07ocRdttbzA
ZxuLhiRWkJDRdxyv4PIwW9+S3M/yCr19HjdWbYO2Kj1bOwSv44Bl3BRVrWsFrhdwXDlTzJAZ8Trr
3SK88sw5xCwtzHmfNR2Goh+X8Yivj+t+GFwjMOLQ0L+OI6DjeZPFiRj1VYaN2wyeO63CLCj6Zqbj
4fQlmQa+7xpdrc63OVuAVtQgBkQq7TnIHHJkGdA1MSG34O/SV3P6PIfT1Ap034poEusBiBaG3qY9
ROjHqLC5wjlF2+skozeYeYV4QGrWahzshn5dXOLVpQ1nwGTMu0xzeuwNWn1eDUY5Hgxc07aokU5P
rkyzzZj3OfXlFCPu1tbbwSuyywZjnLMKM/d9VeE0mZVD3aHgVDlIpuX93iPEuX0MurZA5M5y4uha
mH6JLlSu1sDXszWsZAs78agCROGHh4a8EoN5raODGCIhOWuDvEYz72NWFdHBiur2ZowH95DLbHiM
ce5YY7AWnjcyVgfWQ7Wdhip5wI4lvMnNavqEi7lmBmOPKGLomiGJY+Je+X4WPsSkTDvOB+1aU6Hq
Vi3TwO3gNtZl6IT5GWTqZF4bLtp2D0z5BXaSufOxdozyrp1UZqzopQJaFmltqSApGlcFIE7nfdmY
jkP2iLVnT+dzP6q5ORtz6AGIyVgX/uxSQRhSjPe2b6CJ6clmEY7JmvybMdrQFTHcFWoVQa3FhbKi
pmSGetMks7tvRnGf1hgZpr1trWxLuZfGJJEwI//MS+jg/XDdwwe6MJSq4CT6PS4wE98a2+LmEOdO
+dC0qjwbQld+Gc34k4GSaUAryTvnSxcbRBRsBIIlbPMpVwfkjeLz0lbNfYQLy+femoticbIwv6Y0
by+0uYRFX9cWJJhc+VtEOV4GH7E5mvD1JkYYli/opnd+5vWfdSfNP03ZnHyyxi4Rgai97FPNsbYe
M3aYo3UguF1sKn0ID9tEOhdjlTqYvCf5WdpY03UJjuV8VK2Px8+UpRIdGV+7NlCFouhDhA2lYD25
KcNUnWM3qZqgijKsAA0qJuDjijZbpyHEp9UoNY+9DMYQdSneS7dyXdCPkaYHUrQjRk7oU4ApMh9s
V7OwU28+JnNzl0rNfUaKMTNXOrpC6NiNDCsDU87pPZbN9kWBnM6l3tly5aQt5WMS7X27dVEXbGq2
Rt/eIV2cr9HWqb46PQ57cpyrGyv05y/koE29MjBRXvnFKMkNI/tjFNsicOqFLDsWeMfOdOA/MFzu
HzuhrUvE8wIqQ2wJM8OYEVrG4iSR0VML+/YlH0mQ26G+pJwbN8IZFcrdvfXZjMNkZ4Ey9pjrj9Ml
fD/UGDIHBH/XmVCRMht/e6NW2hYhykUOQPeqQ5a2pIOyMyjvelKwoU1Ij/Mwod6m98Fg2KSDdluN
Ng2PLBqtu6ELvS/ZWJAp90lPan5sk4VhPN1iIehdVkMpnnrELi9o21MjTd3S3D7OYSKjDOWq9+KW
joOtf4AbadxPhtZeuZHfTwivWtR5lsibVZvEe7yrcKNFqJ6ep2FWV20CHcAfRRV0ugJt7pW3xugs
FtshsOy4RZE7DVscqKR/1tFEvNS6xfsIO+qvdtWIb5VmP2PHaF7SkG67YKqLRbQ23dSUEWxyLfsw
qtj7gENtdgk7zUlX6fw11s16VevLuEOpj5Xe3Kl61gPPAPFVhhQNCT5O2wSaD3312T/URlNtGK7H
9GPasd3Rh7rKERbc2n0SrpuyMT4lELbP0kjoW/b71xQ67G1tIvsc13l1H7k44hhxI89Heo0bhN9E
/kFUBlbabTl8qEo9WvCeIIWcwunObMOoDqzcYl3qlIdMypvnWrWajhGZkZP22N4DqDX7nDuc1uYo
4WmAV5SrPBPFTRFqYpubdBCNsjMDvUXHbmr15BIwgAsCs6zOul6hXdur7tFsEHzKvQrZEjf7s2uN
L+miZ4Ey+nw5jEXUrxzkvmnA1agTt1W2VgUC7ZOl2m8Gus6bHp3CuxRe52ag1sfHFJSx7YHmpLuE
yPxgtFeO7iL27WMYPLVwOxCxtFC9mpH/XNmMl+izxNp+7C/onceBKMcvqKTmf9YYJm0hIGTPBdS+
DX0jvqvn/Rl7+UuTJe3e0jjudRcecS34p1C4qPYCRtgNSafvdRq+a2bh5tbsEuNyllr6FaUdQew8
KmSiT4aiZ35IaXyfY7CTbHGnr/c9Ccmmr3N/h/MysqeKzAtChzjLzHi4SIoKfGaucP/sDE1b66Dk
AFtXA6T5tvzaiZHKCLhu0kdG0KPUthsHi86g+DDbo9yVNsa/OsCObWWIr7UuD32PXgw0mzRASPiM
EK2tJovxWmJPqzhGtD/JZjKMXHcYUFdXrmwOrg5Osa2Z+BbojBUZ7YW4vPW0DmswfOS3IFm9FR5O
Jrr8JUp/6HK2cx5tQzv/YBWadovA+niWO72/s6c0Ws9WccDh6YbMP94yrWc2UGll4OTTAaUXXEjp
op21nazg1MgSpbSK9lqM8n45WDNB2LWuNaBsK2K7e9/ZZoJgSFgxPjBeUGhFe3hKwSyiF74yEyk4
yLKY88DqYaMa/tekmGpYFCy/qtV2jhpKcBODx2E8x6tBMNTUfdnvVdH4u7SMsIJNZu+86KYD7N0/
7dD9+P9rqb/jDWkhbcrU/z/XUh+7p/jnOurHD/yFk9PBvQkwWmBuFprHArH8Cydn2H/A6YHnBr91
kbgCJvSXLaT5h07xBQ73pyJqqa2WQfaCIlkY9OKfFFFHbsm/B+7cEd0oa8EeUa6BRD5FmTIBJcGc
vOmDX2IAlwWAKaZpWzhMdYvCZlihSHpwmIvkRSvs9tmYJlrcuFvfHLsyTD+qC+grDO76ntFcYtA5
niZxU0ij1a0VrYUkRCIXNG6P7nABvTMcbzV3UmWN3fsA8PdjHCq/kHSBTAwSo3Go8STDu+XaL2xk
ASuoIwi9mER875sl3Snpd9hJ6GrYR25vJOE+JAil54BHMK6kJ6Tbd1pZueYGzWrMwqJ0bHB/dYVt
XXs0tgOdy2KIK3UHkzgzQp3UnqfutilsJkdjnlyFRREDiWLoGyxGFggZmojbd5W146GqdT732peR
Gc69R7OTLKKIU/y/xVXHLGhPBy3axlXYPwF+SugCFtjQJVnDZBRL+ADBbUDfga9m1yzP8TSBrUZ3
KiMD3YzMXOoLEx8PCFwpavVXcZQN2l6NzLbWWaZF050GG3/W13qUQY0PbSlM98xMwCgTN/Sqq3eG
joYhLnAFVLBM3RIZk+aDVG1V8hUKsPbF8F/gZ/9f7K4AzaYh8Z8Dwvolf8Le4eXnoPD9Z37EBOxg
2fA2Vj42MEbsmEDq/eV/Jv5wAcjRKTkiWJceyl+tFf8PaFS0AuD9Cndxkf13e8X7A8gElQhg3B/W
aH/1ln6AKmlL/Uc9ENo7v0CMUJnShQNvGuzVAiH7jXaYpUOcMl9m/oPv8Gc0x0q5dqQ1Ivg9F1Wg
3KbotrKebvLKRNk9jwdG/q5PfqjLLfKi+H3PaPR/DpO+wEQAJEaQ0D14UZ2jITMepwFCfTjSRN1N
6WkaCP/8T1sDM2CR9m/LyGcwYunRBsqlQ01pu8kuLIS4S7uxvERFdL7KwabQFO8xPnLx9LCDEPfW
cwcLhnVfhShHUgatsAisV5bvNBeKlJf8kZmApkR6NnJz5spqHLlHaTvcV1rT3dKUtM+bNvkzdWvt
cwKq9T6qS2dl1xSZvW9GG+QirJX0Wnk9KwaahWoPgxc9C4hdK1LjmDTWPNiYcGwpyeM1g1ImdxFS
72zab7KxkpFyq6vIXOFxCJlgMVF3clvPXD0GrudYSl8lbvehq/6HvfNojhvJ2vV/uXtMwJvF3ZSv
IouelMgNgjKENwmXmfj13wN2z3cldo90ez+L6YiJbqlgEpnnvOc1OLGPtn2bWeFDPI1nK8ZRNVX1
PQk1OA9LPNuZ7k0Mr+Tyj+qy0dUl9KTPMeIIUHRcYAudvNCQMGTGUA2e/22hixfSOBh8N829yo0Z
9LzGoddJ000RtuNuNAk3zRA2swQflBNv6XfJPY395RLEysfxcR0J5eyJOjfxuTeMHUllzX3SR+UT
GZHuk6UIKHHqsl2LBOEI7ixqVQ9gSCngdj+3N2R3zYfYNU6Dq8Vr41rdQxsh3WSISGO1WCzJ0G5v
AGoOcTgTueEN4lpPafeZaKIHv8+afaOYtAI1JJc+uSZbRhrWgSSHENO/8BHIyxBgCfIxcePk5FZN
D+6F0T2a7Hj8aphkIDOVM53bwS6dqyoTqbUBO4Ci06Ri3pZpfe8YFpMvGpd0YzfOXV8O0a4PY/po
J/WppX0LhAIL3bTEkX2qlIj22NlidZ60lkURhr9/jjvRaggnv7myLTVeJBDRxp3sDO8xcGV24Va+
+eJy45teD6jIstzONh7PstlZYRdjUE880IWE3DIcm9z0SDbIB/2G2exskBfRNIQ9AC2cS7tzONBq
t8DoHXvYFTNDTqXcuv9v6ff/U/p5XsTO/J83+vVrmb01iP1/wtH/+FP/Lv+o8WBHwgz18U/wYM3/
71ZvIZNYLLFY9EQWs91zqPxY/i26Q0jDGIG+A9x/aiUc+1/IntnzEMmFDpZd/0grYX1A0k1Y4AyX
fRQESy1ou5w3P3LCB/htLcxAdVUzLtxOMgbPa5w8KNCDy4mOwyM6hN6j2OIqMDwPWBE+ogpXYtVH
tfj0w9P7G3r/Rzea5WpwWcXoBd6vi3fOcrU/MNTdWrdFlI7Tlb3M1pNiBpsZiZMhLWwammg1SXd8
Diakl6uuChcyRt4xUY7nPnDXOJrX36JhMK/5O9KRIWtpPc6eEZIE53vxd0vzZf+GpvzOpf6xil6u
GPUFCqqIQ/kvOlE3g6EJ63K4cpSX4Aiu5vJxoth3dkOgG281aaiMmyxA70QiMiiGLkxnX0G9sjYd
5uffwOZ7xssGxMEeafS0GqqF+xF0XpFskyZPbwqUZlUfQUtdVChPfSouCnZItc16wz8vmrffhWD+
LE/weA24tHFgY0bD2nA+EsgDbSSwWMr+qh4gdwBccFoSLsfSaGv4+rh0RPdtbJWff/36l7X247MM
FuMIlIcoxMzlH8tl/fD2qewTF3fE+uqdJGoV6Qg7qltnYZw+/fqXfpbOeGCvZLxC4oWG7CPeCT+s
M6wK9Sy6tLkKWxMOJJBluY8xd7dXRZtuTTHCQHFMbGvXuYM90u8WzcJd//lGWShohVxaRTThH38e
n6MM4miVXQWi8F6rfPReyQHnGry56rc+G/xKm7x6kHYhYe4WTfB9gFx2lJF2LxXzG3PtyLwpIETX
1aPTwRjYpKHW31sGDBvTmKuAVMLGJTbR8edx9eun91Frz+OjRGXbcHDCWASs7Gk/vijTH73a82Lj
bI1x9Zp1Q5+A+BZD7a4cLC2Tk0yz4ksSRu2lmkVKsrmLsbBtTcHbEDCQx6kfc023IWkr65zg2+S1
hGb8+iIZU318yvjjsIjgLrO38nUuVe4Py8mHK2B26eCcc1cs7IHNAFtmrwblRBQuRGV3Spi3BF54
I4hSGqw7srt6u2v3pdvaa+yRqzvUrhUBkKVMPsm8ao66x+e39UT7yMA73MRwK/DvyvMMRN7JmZnl
fX0lW6O/FsYMpSWxonxlzDGMIHtKqwNU0fLOzpMbPEuwqi7HQFwNsXgY7MpwNv5k8yDJ3WZvcMd5
XpkyzC9LIP/n2BzdU4rw7XJOFHlU0kzpWll02ZFsXF2tpA4Z8EjgdAz9vrb4sNyPJmmUAO5w4eNe
jOSI2/YDFY8s9nFgWMBZaRF/QWjQLToUYbyMUI43bdvbx6Kp26MlovJbBk2b796pivsswvJjNQk3
OVGkjPhViHYPnT+6FrJSW0BOsbMsZU3b0gsAcCeJi/p6AqjfVr0DkaCNrmEoJuaGln44cNTYck0I
nL8K8QT8rCozvbC7qL33nMGj5M4Ne9ejkH4N/abbgtWS/cbkl7GnUuarDWn5rYeV7q3xVIZ+Xyc2
sLMa8oaPQ8qtxvw0BPuPQXEXNW3NfwpF3u0aHnQ1BcwLc4BwDIIhTkCKnVcwz+K1Mxh1te/8Ypu4
oyY8ACr8JutJmlvlrCSmzIOkQVFOoC79Yp7L+Jb56FAhDM5w1+i+pXFK2uMztjD4BzB2IEWmaL6S
kJMPlGjjMI6teTUUQ1WoU5QJbDgIp4mPVYcXEUk6ZXNPkJdzzCHLjHB6InBVTXSb4nWhqNvUccx5
OJSFFFu/wLeenHdGDtcpnFJMqQsdSHoPRajKpY+KmBUl48YCbh85C3e+kebx9cSnQxQlVr4hCw6D
1mpXlxkRmKXg8Iq3asr8tREjfCTXNTZrd930gCPrNBplvJNlAK+vj6kKdl69UJvwiGHHrG14qSgF
FvLkRIXe3/SZAamzSTLiGscpyMAvGnvYZ244hldL3EZ8qh1yGbx8XRN2OOtDD1zVpbRaKak1MUFx
GMt0fZ3tdOlX+mD2PUmcHglh5K0pT5f7LkPFtOa12p+MtpotynSf6QD/Mw1GrabR88jr+lPOsL86
Ol00lIysB/9uXpiSu3xhYV2kEgeLeoUiL8VQuZtaxqJD5gDTzHaxG1uuYNsQxjFvQ0uh2Idz28pz
FWqWNght221iyxpPHTrZkoAmJxk3QQ2nnG6upz6p59yBcVPQi27ICCorZnJVKo7gRO4hyQL6Y7so
hMMkmpnJPMaFtzJk10Y3eSxzd+1kAqJaBVvNuDCRR+ysNk6Y4aZR0G4tnc7NMc0sNBcFygy5Wv67
FaF9TKZHkYCyK5kZ82pQmfHS1brRBklARUh0yVxn+ACFk2s4DwQG2OOV30aaDjUSw9nDSajcJz0y
bYNZ3kLdirPUqmG3lnV6Ql5Qql0vvTm7sIZkeHBz23v11DIjCi0W726s1aIt8GeYbNVoLfxrTFkZ
XRGXmlmZeC4lzEdaZHJOewZ7X9oudQ5TIGGBhkRWg5yDEzg7r2wgjNUdLPgZU0/3FtqV9fAHe4vU
QAZ1A6obtZ3sKs8OnbLhA9d0ffZ1ZsB4q02oEGtcYRdRR9mnPaxjTNnXpoA6SOgreXzE17HpXnCC
Qa4MYSJvK3bJboPOWJEQ1aO8uMk7jFnv7LCOEGu6uRzPyHeW4nPhMXuQDUhelhU/3TQzCgplV8O8
N4tgufnl0on1W65r4UG6Xs1djItzE1Z7zcLSKyY+nbZMiuy27gI+edi+kE/5d+yp9gCPUliu7uqV
Q9I0r1t2ajxXRgp7MzNHoXYKixEIc5NgWsr/Z8jJHbGBqMha6uShrp7osaMTI8aMxjqF9rZ+Z1/L
eiEtqg6upDMouHEJZW5+0bR1kd+HnBb7vjatq3c1AIbTPt08rnr2qYEsM17EaZNMG90FQlLgamff
2jxWhk9Cfy2Yud2osTebgwBbKD5Jv0r6A0O46k3P0bKHZAJOOH0AXL/M1mRwtX4VfTLMuNoxPAai
pV8WW93J9C6DeHcRVQVZlZ7d2QnbHqL01ZTa0RMDzSnBHr/mM5mN2ImOxNJb4jt0NNQKocWS2spl
x97mnsETVdPMYIqhlLiwOnLR1nFUDhMnrTMtrFKRv0BGix4MTZl+mqOhs74Nfa3JPgO0n46ZtPmr
VGWR0ObKxE+OLa9FriGw+jvyn6bhrHRQ3udTL1Zh0B/cShGqNkufl1OYVo9lFmqI5lz7ymVqa7rN
FppmNV0kWrbpOvT6Kn2gEum/McBnG2Hr7CfkGwxYV5GcQsEpoMV9mQgr+0wElRPCFqcC04/t4CAB
QCaDPiANjCI5GXErv6SJCVpRBr1fHIHirFtGpvG870bRZ0SEjizSjHAB50YRke5dVX5bQgpqUcie
8dp2FWPNXPZbFD28NRnWGQymOajYO/AZ2oL7qG4zlXbY7edQsPoLF/v0jY612a/jtvfFJ4QW1kOe
dqw1TjpEY2VS9TcQISw2WLuN8l2I0k6u1PgMJVuGFnFcU/CIzhuasPSSwT3DHwqnOxH30JR1wore
tpnD26RxQAGSOcQmXQZwZ5wbW5mlf4xVE3FfShnJuegMaK9VH7OrUI2Nw7ksY66/i+BU9WkIXieV
aR41THG0U5DfEHPGaXB+r0r/S0j8HSGRdp527j9DKefXTpevNYr27+/IzPHb//0/9h9/6EfQPFiy
CEwcDPGjZCj3b9A8+teCWZMjRGv3Phj7N5DiRP8KYOIil3UXtzjSE/4faB78C/sqHP3w93WDZXf8
J+M0fvzHlo6fx5XZNENc/QFs8Lf4udmoTYLgUSECRyeWN6/iya0viRDQj5WlIAEmnrf+4fH8DVay
/IU/9JDLDyKWDTFJ4sr/amJMO5gOxuzrg1I4rPF1kynry99J9pdO7sOvAJssU0s8O3D//KDCHjw0
OMJL1UEPpGxKW4nbooFmlQVuuzUNWa6sHldVV+TGXY/1xOOvb9IDzfp4AdYyISV9J7S554/Oi+Oo
w2xCzH9oSp9yQxGNssNwgwhuGsJLZacdYjSy8Pbk71XWqo2dGK1em2HOxRTSu29IwYHcHDPnhKzB
VppYRGGGsyx22i74b0kdpbB1SmM5s9vcJwYu7jVkCNrpN8wsizsnD4vNTAzmARbTQrzzxQnTaMF4
Q+h9PFWgUW1i0YMB2wuAcgZ5B1Ng5AC00l51Ep9zW6EOHJwxPkm/b1+RG2Um+YKTfkuhqO6mupye
yrHW+z5X9WUMfYoo4iy01rKx68uUCd8LQQSoyhOTPygVQqxeMDnEBC6+iyYokZupbykMFt+Dap1Y
KMfXMX4/zt5OJm7TDHp7y7ADexKGvptANem1RyIgTqARuUakl5LrGGTdbVNOyFYpwoZ1PgThqvcJ
o5lhfON9WS3646w7FaMtbvtqiE+kwKi9L6zyKEi22VrOMD3lZjU9UbD697wdeztjabitbSQvo6/E
V91IvocAs6tM1hpWbtw8M8bhzQgsfg6Mn/mGZEfqLMXYpW8Z2UGIVL9JclkfTcrXR212/SefYMDL
GMDoSFYs2qpyxq3rfTzUIEOoKky9Ngi63HyFQs2ooKLOcFQxNNv2LUIDWU/2thF2cdf6KSmLVkJA
nN10X9nzo1UCDc2BXIXd7cFQmPfX7ii+qp7PGTaJ3vvZWB6bkJerA04VNeZUMb1Td+Rp+n15bPsQ
/H/2CvLMDbQlVlzcwXOHMBym4gojAW9dRsn0vTC1uQxIFrtW02TTsJqXTInpCYft+RyJib/KSfW+
rYAPLcUdR+ByV3GxfOyG8K7ppSck69yL7+YI3aK0Wk/EWFaURfX03SoyvdeZ7V4nLm8iJq9o5dat
3gA2uFTj7chzLZL2NSgjjy4hzvPNoIysJtIzju98MxZfof3O51qm+tFGvLSvib3dEKVe7GDGDN9o
3q2HzCUnMF0yRC2DZwuCR5L4uDzqZYmWtZq+6467nwtNNypm3oSL4g0uF+u/W7TBZRLEp7IvniXG
Pac066rrJHxjXg8SSgvpp3gyVvYx7b0XE0vszzZhiU+Jzdpc2ZjP7G3SeDcu1ChoL9P3wQ3aqzb3
WJTKnpBT86L8wBh2sXDb67Zy3OtokN71qLFoqLO+fR49v3khLJXVGhDL3tlx8+JUnr7IUX3fq1CH
UDTzkMavls1rQklHspSztEXUD1S/3ByVcnmEbG3cKd3Ww0Zl+XzGGLj/1OL8eKcblJcr/H/LtUW3
flIIPNe+NLPD0NhQqiHtZnvSubuvbelDqIQPNQbgZKGA8oTDRW5qeik8bMCLfALF7U8YJliF/zw1
tRy+Zt3oPmckgRbJAfJR7ZLsNRv11kE7NJ61kDF808QZ3TuywEmFRrv3aBFGv278EXsIy6N+E2L2
d6xDz1wN+EDDO2LSupvG+mpsIhv9aB6dkM7eDGZv3DZmeWd445VbtRX3Hni3c4d9qRco56rzknuc
Fq4qsjUxV+AjSuw5PVZ28QiTxNqOJZb2o6u/ZGE1bt1p/FakdnU06uQrU8T0mM5YkNfW2F428OYB
k6Bd48k5fEOZIrD56C/UIOIdAXfWSc1FtLHoPyhuvYTcjCS7cmdXn42onfS6I77az8OTUUBMy0pR
z6s2isWRqBeC8Qzlrsnx9FZVVmCDW5XlW9LOQ7jCtjbYj72LEYVb3+k6yLYAdNFFjgvCGcGnJCmV
D5aocesi00QjjlGYHGecnBeUE4odMvtDFRBoTT0e0hfC2m6dkM+ytvJ9apKNBSeeEZ+XRQcYcfe0
YNEOP8/+0qojp9zaPPuvfSulD7k4onmvZt4hXnfDdLDbLGC2Kl/qJu4ux94uQV7MkdiwyMKYN8Ij
wIt9KIVx/9WBHgwbPuHM4wAPdyQYM221yRLLa1/cYSplEaVc9DuwMiQEaWHkqyhUL+EyKJZOoS5q
tURalkXxTDpmE6x95et9xABUrgMfxm3khQSaTC4AQuuIW6qzEOonLjjHlv3V3Gg2EdRDRWv3GGTE
zdkt+/ZCzvG8bQDJj9B2+w0zaL6qHryUmJsaj8+FReudWr9Tj7N08nWXk++K7/lBlht00s3J6vz5
tS1N7wiwNj+0edsQA99HBzV70bEaY32TFc68meJRnIqqdde+XQKY+gXTcJkU2x5w/jbocTVepPfj
KulI4DbbEBnkhK03YveV9By9gUWVfw78hFbH1HLnxigE4REZO5HCkR2T6ra0oFv3mSmPWeYoqOzT
tEmMJHoqw8TalxkrHreKdFEPxNtIxu65AZpHNCqNu2pQIRzlWZ902BGtjMlD6m6F31XfUTdfkXgZ
XEaKqEX6TAkrtCSqiFyYtDi3/WwdWwy+IVGmUBzKOXaexzzQiCU8CZcdVVd/keqkQJ5t5eb3lgTb
cuMShaM2i3D+OAsRMS02uv1old4zeogsw3s0yy/dIem/Vk7um2erd/FRWVkYqHjPcMXNgyS7lujm
pib4xFBAgEHqTV8ahN+AknKpC1pxC0mj3PikojXbcKqyC0MtUXG4MuUBy69Kj0Q2dpeR6BsXGJ4e
cgWTNCMYO4TanGeNd61t6N1zWrdf7DY0+nXXwqvg3Zir9xIpzx3OIaI8Djk84Uu8Ojw253b4Fmax
bLHnxrVxhwMLBw6Bc/oN68YQy3ojvsOtZPkGCsqEAL5KjNp8pCBKs2ot0ta7nrPMuDOaFl+LKXPS
HaY5IP2AIt66oshLN66v2i+qHTFUT8n3AEXjdCaJT5z+KL5Ehq6TkHJsFPIgD7GrSbk/q1oMTJXW
9pYy1L9XBY0sti/o6rb25BabPLXLI+OM+rLsyDl1zZ5+Fbn8auhAyED/ULduUq/ncEd9b9xBkxmf
MttJrpOKSqP2/PYqmd+vIhKfHcOnLI2FWDbludJvQ05NkkUYrRwjIawbtsH6m9P6GC8aCZG8PWXi
yU8WLKjquByUE3qfWsb4lGYm785CHlyvzarT+6Ty9QW+Qtz/OMlNsuQQNxRbzwzvKgyYlvKXwNrn
YFDlEaK3ucJLFI1kpfRbqJFoqjlutnWeRQw7JKoR7S1tOfrm8ljYkbj9TRPxcchN34AyN6RpxKzO
WXzif27OPARebYl24aCw2VnrAN0vJjWR3jVasSoyQtii1AneJltPB0RUTBgs+5U8xk+AdiBTHseU
4cmECUaFwAsXmedp0f9ms1Nc4B/mvNjEOilSY9t6uiCzPjzGvlVsTBeOT6Z4kBWv8IC4zLs2rZSQ
aFVRJ5Q4iHBwz7taOfoCUE1uOkFUW7O8WdsdjTu8ePx7wwv0WxUm8EDs2nWNFVpnSknUNcdeNuVx
HFk4Kc4xNDAhijN0SPxHsxvw6ruF6PhHjaTqWdzWRLTxLonVRipBIRVVOKi6Zubfu07RblG1tVcF
grvLfBSc/RatXoLz0lMyGwmjDM8uXzoHAdoJjX4wXYpYJjykDDjIQO+stl5SpOZ6bJ24JK/dyUen
A61HrOJuuKHafmrwylr173yZwId8fSwWLk08LwSamEIq3pg9vszrOAMUnIjACe0LzMx70sId1bIL
Ukt1ZprXGxQY3DEehM1WsfhTyOeUUIGyzJUBsXpNG2Me6HpY2qHbfzJzSnwy5b117xlNt66ilniu
joI5TN32i87HYtdlSKnHiVPNLCREpXmgkEtrf3wasvIl6KjbZ4VYGnMDJ9t0Opso5nl2UUF0+Qkv
QexmvdS463Ib7TQf7G3hTNkeXndQA+oN5XHwwuYV34Tm1dUWZ7Jd2qDcivfpDGF3QwcQXjLsQT8i
abb8su4/1RU1pFKWczSxi3oZlpq6TqNysUjAEsudS4VfT4kkwJqT6tj1OdViHTgwarPgtnK68cm0
RnuLYWLz6vWwp0yXyra16FrQZ8x8ebhI9p/snEZeiLK9GgJYDavYVc3rENew8sKBijR2XQK0G2/m
G+nNsbYwaeJfDuYsvjY1DpRhNeOZSFW+8jJoXljmi5NoBWiIjXf2SkXL1pViLLLzdEDjXdnis9RB
eGnhCfLSt3h+JFbbnTId1Jc+BNk99uJ6XzNJXzdhPT3BaKatktCQw6XzxpS8vaoK+vIgoz3Bf3x+
C/lK520WzmjD/epmUmjD8ICkzTG95NqqXSBcCY2LqaW3ro2lYFmuWmEIZK1CsmKQWuGScakdWR6t
5VNVdLIcJIgJWprUF0+ocae6iqFlbkp7O6LpfMTya/nOTRqnVLni1mRWIYmD5wh43wPbOllERomt
LwoCZKBsdZJ+2iGSHkCLuysDfTEnvj4DE4eX78vQVrS+LG9hHtRo6LOb0Gk6vRa375127bB8KhmU
+C7RsYqK7qOsrexQuhxkJdSiyzH2yWJY2jIjMXgMJLAxdHf54N8BlDkL9a5oacRlmr514azPM59b
vUwFOASkAoMIGaJszVYVd6J1VYVkooioDzkKxwbzF7Ewu9N64BUn0iyPauaOMBODy5fMfILkJwB9
MK4EdilMb92OizdIzhKsAUzktq74YhJVedd24Xv3HDQmSih/6j9h7wwSM7uF+Dw7LgAFdE/xlUGR
zRx40I+1wWce2x0uCktT63gu2xqdVHx675AJLzeBpoPFsGTO+JsqmyZbzGxxjsXPv/fNAcKSsyrA
zOoGrynDNL5jCLaUKYHB6ysrDinRk6Xyx9LMgIxal5acyUJ8ZzIDu2wbe5HY4J0XDr343FhgF1a/
aPpJ6qovJRZV15NLhbtOzIHN3cDXCi+q5kUlkF07E+MBGbDPNjLlEaae6L6atcMLKYrRIhq3ooX2
KYuGnG96Wc+iW7ZhMkr7i7IvQYKiLKDWKDr+eISi+AIjP+shXdBGKfLlFKAwfsGMo2KfGPtvo4ib
19SKk+sAkfLOYtK09nESO1BiAgL53E68oA7vZUUIXQIfgrq4q+RE9+5yTPqoGh/ezwYLdu1pDJP0
OmDLp98HvJoMz70OEsPjqJDYNYiIJyzwcHqQHdzShdaPGRQViEsbsn43rWl9hwkWAucjJI7yqEuz
vpydsb70bIqHankHKfXSc98zD911M8YoFUPDre0m05OWlCdtAS5iNqX9YFS4ssTsY5+bPmyfScuM
T/SN/vodipkGwKLQbuNTUqdykyuAjJ7dpMW6Fp1dEipWSKPmwzhQZFZ82HsGxKBPTclHoc2peSlt
A2BQgtU5WUyJNlCwOD7zCRtQb8thz+J532YVWus9Hbu+6Bo3+UQ3pbEhs6uljkPMe1Ld4tJIs/zY
YjJxMGZJqzj1Ew/TZHvDxq3HhcPh1PKnltraYa0xFLtTEpzCLlWVHbGVEifZloA3y1aJW6S97Qqn
uEafBrXaz+CeJdgeOSLifEhpVfkmO1BB8hf1+V2J6Ihg/B7UsdpjyFKualHw4WbY9GFC1LRf+gqX
n5VAInXEDYfisc3SazuoX6bJ46nNC0nBDlM+langGQwl5Ot6kuIzVUnurkalYw5ls4FDYGNsdiUN
k01WCsoJGKwoIvSkN9PIC9chUZmFDZT5/n/fP0zoEhwxBja+Xz3JmdpyqBzreVA3yjbQqaR5tm9k
wwedueKUBIvRG7biybXbIjlGRpvN5xZn4M+ODPSOaMO30Z0bf5v2NA7vAF3Qty+uTUcglypAK4jS
m9aexz0NHHcsjwGGi4cxdJ/nLkk384KADzSy2xFbRuSlzRiehnj4XaSR9YG3RLVqERoYkLuMJTY8
tWXU8ANvacRUhlG/GA5uBji8hr/lXQeYOm6TQcYn7bK1pRHF94D9FI6MhEHnvecc0Km8JGjN74za
EafemfRFLVvxGdtH93rKbPXIljD/hsr2lySD5WJDcp5IIoMKGX28WDzli2AynP6Act6E9VH797ql
FzOtPL02RhoT0AoKUWuiKSoGaPMmUMYJa6rmNYdLz4CXPeLXBf/7VOLnqYXjBbhXLRcVuNgd/PwE
k5GVHGXLqLlyBAstwgKrD0dxiTnXtO+6Md3Qvc9bSApgE/jMis8YOFA8pksnRw7lXS5ZVAS9sxtg
nvatzcrgNsT/a8suS2FodA0i2UW7/Osr/5tOxfL/ePsBqXWAJT9feWdHRbOwxZHR2uIUE3CyIPdU
jwIrwdtyAV9nR4SbiT3xpdecIrWs6QvHwftz9vLfUeVvRpUEFIRMCf/zqPKyGbM+e61ff5xV/vmn
/pxVhuG/lvCYCI0PTO3FC+V/Z5X4qiD0Y24HvZvv5v0V/1vhg60K6Uz0xvikLP4mTEz/ZH3b/IUE
JpAIAfK6TD//Eevb+TA8tBhfuAz1sE/BSv2vDtEZhIqxyazu6NVxQM5Iblh3JgKIM+yQdteIPBxW
XhuYX3ojiB/gGXVHXdXxyegyjlQsZ9dBGViXjenX++I9ZWOyyN8Iw8J4CNsKpjJISrZtzCHCLCRX
VN7G+D3vbMQrVKRPri0GjBXDbJ2kVXxuTDdVm9oOJhpgOkamXJ3cD5UxHxpR+fcjrOPfGIR/mNfy
BNgXoLvzGJb55kfz/HyB2xqa+KPqLHXjwynYJ3pEbTgMy31x3T8skZs/Np8fnes/cJvffw8mJYNU
5sSEuX3YkmzqVZUURXuURudgvFV+SWYGYUgkf5cV/IG8vfwSaIfFHJwd2WJj/nkLmUffmntqn6OM
Rb+x81yvIu2hG2F0dz/ZpbvXUADv/vHtQQMOOAxgNYO0fJAR5CYwT1VT2WEOQKahMaK3Yu4XeJsR
x3n9GwLy3zxMVJscPC4iNdzsPzzMBHfBrK5yOjRTesW57qp5p/zOktdjGT38+s6sD2Tt5XlGi942
DBwyHnA7+vl54i5YplVhZkeRqhKRUhr3JX1yRYwTXoOrVKfqeuxG61JigXWYy2BoYeZTwP36Ov56
zx70gkUYEUT882NKe2nhQFaNTn4UY7GkEvS63/hJHD9EftuYv/mxv64hD/kxmtAQ53yXYcjP99xB
OnXIr8iPrTXPt03Y9ZvB4Atu07ZIIUFnXg7BES+U3/zu390kzHLSO3yfRCFz2bd+KH1w8pNZ4pMx
XUsxUc/xNqUz4hNcZ2P+z34LRjh/P9Rwk011EWB/+C3sk6U1pVF2zCyRbASELTykzU4vHCzn8dcv
78N++/5bHpMPjOID0JWPQbR5hfCxM1hDs56l9e7MeCozZ/pddNJf6BrcE4z+MPLZZFiu9s/Pb/Sx
xsH2LTvGJgOcjZIIeVauxuwgniBDpDhXDVD9hgbud9fmMUbpSfqb6uvD2lnu1Vr4GnyfAWFSH9fO
pJk6I1zjGqY+2YAvCBuTZShYMaTXE2IShC6+o3+zn3/IC0CzyiHLFuT7DnWTjbL251ufwLCbOQ6y
Ywpn9FOX+9UJ4btmDlyn+85pa2xhjEZhha+hpq1jiXflUfq1+mb5JY13O0XVqYjr+ABVrjphns8/
5tz4DRj9d9fp8WKiKKA6+BttrefEktbJOJhg/V80A89uPeGqwSsqfekfaiNvg5XOjSCAWiyLswkq
jY8StO/jWDTuRTRE8VGBUl9Fht8zCZzSJmdgHwXT/p+u2hBqEaC55VGRwLv6+ZFCPRxo1mV2rCJT
IwhbWuR13ffD9te/8+Gr59Whc+OVkVaIqO0v8Hxm2DwUo8+O9HNYmmIBvGTdNh4Yh+vd//q3Pm7n
7z9GbY2mDp0e8uYPN6XD3uvxE2Y7b7pik4TxtDEhQqxLPpVdbLcIKJXUFxb5LM8ACskegf/wmwdr
wdLi2f3Uongh7gsB5v4UBVzOh1Ol7DDy4suID8EINkKrabOZDpFy2mMCNHNrOL75xcPiCEXuWHUr
3aaEDmb4CYQImU3v4n1eE8GPuhmmyB7B1PO2w0h0GFHaFNV8LtM+hkoh7Lu5dOK3SY3lEznFkHnK
TslVJBgtBEIVJ4xmvIsJb9Z21VfSvvPA9+/B7MwDlAXrMkUsNW5MKFUPRiAJYYPfPq5ggE/XAATD
awnJ88tsUMb1BqkNq0jVMeMKw2tPNfG186rGEfsw95bb7/IgJbfOCZbcY6MpXNgvwsZ6O4qtr/VY
OY/ScVqxUgupag1Q4r6V0+AC+SDaSbd9mKfnxOHLBsTEv72bsi8j8WiwtxPvLWmM0CbxgLJxEaKH
CfnGUTLuzNR399I1KYbqQBECEgCG42UZPIdCduEdaY6sN77+pNgxFOTn27YzbkMb4vvK7MfgeXZj
b6PIBzwHy5/tvYbL0J7DoJbxlVwFWWk8EKCmz5wz5ZMQWl6/P97YlwO4e2reMhpPi1MzI0s/xpCN
nJNtVum5SCJGS2JOaeeD991qtP6HvTPZkhu5tuy/1Bxa6MwADGpQ3odHy+gY5AQrIkii7wwGQ/P1
tUFmSklKL7k0fxNpZZLpDgcM1tx7zj7UjPTCDIXTwKLFXzAiG5uuxvZ7txODPPduJjuAlqhtp484
q/yPA+4UcuMTu77zCko0wHj5nDHN0mup22TXd0H2pgAmrVw1NSfHCPk1fhfBopAnnvdEeV2Rf+Ny
byvPzd4Q57qUBxv/NRdESWx4aYBUxVm1fBD4WvRWFwoyremmW0IBTIrQyck+lxIfy4Q94NmZgf3s
vXUcVmMTn8MhH8mXSUH/IqVbY5WcqqHxZUrGEuq15ToZZ/qjMUeveaPxfXyohGVDBKP7sRtSmpHb
nB9A+T5HO7DtGWB7u0/bV6Im7FMzhYxeger4TsUpuLgh5cQgRWM9yhTj+8ZOkIQkVpmfi7DcR4sF
rUn50y0xT91B54FzAta4lnspXdCdUR8SnWYXdqjqyzEZfWhZZbaTbk9D3KuX84DX5kT9Jn5MdLBv
/KF47WRdXM982zaGt3RbLcGxyAj9wCE2HUmg8D6FIa9d61dHu5n1xioGxDHWtGyhO7tbR9bqgNmA
Qq2qy2LLXXWfkVnckrKFA9eJDmnaeQdiH5szXBew3dZADaoa19o/P6ssQrVNi6LczUYPG7f3440W
/icV9N51UmW3akLXYow37cwc+ujPXIwVXfYkYwkrr2/dS4IdQaQUlOl1PR6LCB4baNt0ky5AayN4
jbSP0/s+nd+i1n2llt/vc6vyEEv79cZdjEsJPXzpZB9DzKLhSkktZFUbWvczkqszInVnY9zsBnjT
uCt8+WhMfNlg1HjRlN32qT9P57SsmID9dY9UufONzDzvWi999wGySX+2DPWkZZFXBfYCJFl+lQd9
VKyTSNJ/7eyiPc1Ok2MFi03crYjr/Ow0fuNscJ0FV4MouaCmxPuKL9ddnsTie0hKVzmSNm50qR2n
wxslfMTgkvmiCOzyCeFB8jS49vgwYxJbaUyraao19EtQEnj7uJLBwS90+CWvMnUxlXK6SLu1n4Sp
wLtWiX1PV2q8D8Z53nvLMCA9mXKxmZrWEFTcdtVdjytyG/CmURm3fLYCbtHEWzWzFylWhEJRyx6K
TJAxFdWEZvgxKwIIueDU5hx9BsYfopC5PkSL7R8HYJhANVu3uqVX8hyUS4cxcO1VdkuYbxOqSMj8
KPvnB5G71aXVUv6uc7wa9jD1BxkMCf2XZLz0hmmnkVOc83Gw9QbYRPTZy6c+3oja7bOtYZ68IHcu
PXsd+3bafOTdLqZiYObsHTgilNaHEm3WvprVC8pBcSCYx3wa/Dr8pglVh99VO+6jW4ng4zQuEX4Z
gZlrHsZpEzcD+7F66k7tskQ3k9XJNcVv3npN024t3QUnTtDRKZqwx2zoZqqvLULwfTvm87nT3nVQ
QdyLYjUS+BA5VyhrarYwq64LteOHMu6oTqMW9jj856lPmUI5j1ZmUX1AQ4XAN4geJjEsOxbhUq+5
Kf77tNj9h0BbVA26uif1p3N3Iaz8WOY19X08WccxsEpkntrsaQn7T+Q0NXeJ7j0Am05+Eeede80d
zHYeeqbOxM7RCMHAjuprSflgG1eRe5d0pTgJKNFXUZKsauZFoKfrnF0VjpCZ7aU9IHcNXwfNT2Ki
wWPZjxlgQt0oZEWxCOkg1DR06tEh34MWCB4odHkDAMRbe4nZ9kceTFOEiXm9nwur8YFQm/IIUyT4
JApJEafpksuJiJqGPvval7GiGV0lnVENBuaDRtZK160l6hjTS82a7kcjvbbGiBtO7O0RenXAAcBp
zqUza94u3V5joC3vWjAit2E/TSev69OIdkN4qoCKXmAqsTbGicPLppvia/pJ4ZEeT/VW1F0A462N
uo9+IrqDlHnxjcykLCZEpW0uCLynlpSX6nkt6NNemfaqa4j5iMSCNI7oQ/Nqtxi2mAR6C0oHga0s
rrbedmktdpSfh0uyycHTNfmeJ57ti8p9H9EP7rKhjRHT0YjZ10mydk2G5i1wanNeAKhg5WMN7FJv
Oc5ijnd+WOg7xzb9G1AC5uyOsFgQ4BGEAr01/ur1fsKnWgf9O27F0N/Yfj2l31Jr7rY66wHWJL4G
Ko8B9Vsn0/p6Eq17k41ieLKS2Lz5Kgs/JUOECawGKVfuJnsJBcseRryg2lIRIdpd+vOZWJgo2VfS
fERFl93YRdXtrJDoavIx8mZDI9PZsotKbmZ3DujbUCL3EBddCJhdHlelp5Nf5/Y1qJJyh8+UNaNx
55m28jDI1arYpAMpcd10cuJRI8Wr2mGHeLZhOpuX5CH0cnfeTsIdLkSEq3frUB1iXMKe3Cb9Yj1m
ZWQfqHTz3FgU6F21+kx3fXhvORtxwkjLXW1V3AUs3J9jOmpwe9jiXKdB6+LSdNV0krYXPwM29V4t
t7W+uXIYrxD5J48Cs+UWYphznPwpenLqDELOINTnuPUztpPkK+F5emJjHO91LOmlFN299J6TZCEU
YWF6RafFoKqebVHbGzu07gMzFRuc9gu2NsSNJJRsVK3nrV/YFX6lFcwQpNB/agR6IWdsGH4+mL8p
eytKN623MEoleSyQf2aZnNwJW/Mgx6+wN6IjZ3k0qNT9DwWm+21RSZCLldg68CGhdg0HXHagMEEo
74KY4UxWo3M5i+o4LM7r0vLBKX2oI6JoIF8VflhfZ9NDB49z69Kdvc5r881q4bF1wMU20hj3nFHY
RZqdTucMT84psikP4E+YeZ/VcGxTbb8V2ok2nPFZddgInf2h8fc9XmVMeboHDDvlV4UzHQtJN9pj
w7XlUC13epxuR2k7GAQneRKqS9GLQSzsu3ZXQkFlgWjiu8np0bQRIXCgaf5VKyQBrdUsR0dmSHC7
6LOareqgZqi5GnjpZknsC7xnHwbPes2kf8DPPbNPiW4INzsjMf40VsvtUMRn3cgn8MPXTLkUjAhe
u5Rq+ZZ3yTOMlXuoa8eW3TRG0PI1srPxuBQUKQMdvQHW6rf0+AYA3454anBC7/Epv2GdZGNlJUzy
qXtRSoWlwAViOrSXUxqMiD/lO8GJxMlUVLU3AlH9PgHO/BH41TsW6gtJbsuhC0q0snM0Jx9tBHLL
RqmwOPuqRbWDFBvLr3d0lr3pshdMIgTG6/RKdE92aIbHLiQOKe2zh8BLUmwRUbFVnRleLFeRMDEa
fTKcYa6IJbDwvebraz7b8Pmz4EX2fn3Mqk6Gux636EXWScqjI8kNW2ID0onmqcMWOlOFj3WQXAFt
hKUOaUUKqCujL7YEA3KGAkJBh150H9pH17ijd6nDqkf6SRt3Akqt1s9zuyJ/nSk6jxQunFhfJGCo
okMwFq3aUNX0iUqDOuocEEekzaZgP3QKvCGwbtDmBNmut5q821gRRVPZjxw5iyjbqsGNP4VJEX/r
Y8kLyLfSYiA4moOIG3KQ2rlhw7EoYdgPu4bphTrT2tOYmyH+NCQcEGILcUXduOISpvR007HGPYdd
jDjcF5ySs8Da67mT9k1uiczsdTRz7BgCpqWxB9lXO+vpxMnwL+SLO97mcnaubAetj5Oo4pwWY/wp
qSyK3Amct3unF3ovBe5x6l3GfiOYSoprwPTrkRfu17xNRdt/7GrD1oE8WvvYOp66YG/PR1uytvZp
wwF9J+ZkOUAw4Xw1Sv2ZDB13lym2f8hv2juh4KY7psZJnORbmr5k+hVgErPewzOTChQwPYf8cAio
Eaydmu/fZ1rf2s+NVAgTYXRxTjBH6CjVy/e/EoWVe29Ljv1NQLp8IMRyctEDvuLx4Qw2KZcqQeiN
t+PCtsfisEmvZ6HVC3l8Xgk0gjhF3R2+F4pb8Nlbd0JhCAa835Uk3kA1I0vyaNGHPZMNWJwlyrqj
RHv4sSEf8cLNcj6ReWT50FN4uRNZ6bxUg81Trwuba4Y4c4G9YLorJva7i4XgZCkG1DsgK8HM2vwu
v6IW3gqOfZ0Bw78Frtod2apxth+GMsCeWsRjsckWqiIUL5kMBofTia2iXeMb0V0U+Jsqxr+9WMSU
YYqh+IdWrsipKIbLJRiH3gWwFQHsYu3QIN+SpTnoYhz9q7LT9o2AvnHZ5DgO+kVQvIoXuLPruMNQ
g5YSOQ7bf10+l4oo+xQMP8ekyVqvL21j4F5U1zYWx6wP5bDek3Kgy+bwjzyr6aYJDLeNIuXWdxAu
ImSsAdVTiuuHerkO5ni8Xcox3DUNklPpMwK0b/PZkVk/EOT8Q+JG1j5KyY5B3UE9P0DmONWB/QLY
djkUta8uYBbwp43mbjlyYsCiT5ivDR8EZFhFYteh4XhJHeHnOyKGomPWM+5Ti+21E1Bn3X0vPDmW
G39bHJ+iErqlo7fwofmE5JFSYu3tWM7Nk0bedhU56BkMytVXpJzTHXIRXh0r5RX2vYHe5IjBLAa8
+VoEvUa1PFneZu5NiexTlbFzz+GAX1i7uKo3MdYBdsDxWB9xTLtXnFvURx2tt7dCvnweGm4TAafu
/VjonJ0WF+72RfqlWqqWFEQwJyzlvTmXeo4vNCXXajMgDHpdZjDbNhU53fHfRYrMRibft0H0KJic
jKOHbt9rhMdoseLw2Busa7bm6Wgd87KvBqR4mCMqFjWUbmU0UCeEfh4l8Ou2MvEnhTMaXalcnEsU
gs5t7cn4LEqPK9ecfMSuZjo82p6g+EFbNNyJdRSMLaU50QpKCsJHVlWEmjPhGA2MEmJr3hI7b19p
RVrNll4s7zRA8HjXcDo9DDbzY+Rzp3CuW48LB4JvQYyxGwnZOgYVXv1tIBBKZYmLEjD0ZiRKwSqS
x/hE0rdMzddQck4mDcyZXvommz5PJqQL1bMhV5RS22Sfsq1gZUTIcuX0pr5JRz08YpIIv7TGj79l
zRSdjSDpEukgKxMWsu4wi2Amq6pmBKzs/U+5FEhHeuUpGPQNBW4sa1kz/yg//6/Q4TdCBzLj6Q3/
zzoHZKeNev3S/FXm8OO/+ZNtZ0MpRuEQUcT+oWX4p8qBhBaoxxLTNQ1TkkMIfPnTku07oI3puAOe
Q9IHFo92wJ9sO/kPGnK4fSVLjEeXPPpvLNn+L51bWgk0baE/UV6nZoN84pf+RUUNO7ZgpoQglvLo
wDYwnIcXZTB1qTM21SDr2NqEYZofmWGQzF15UCnGfVJFIFiRQDREKYGRjOKw8K5rC24ZPFJLp+vb
hSlKZf1xKHI9xccizESWXYkfFOOFfxsPpxgUQuQ/0YuD25mA+6+GKb1yDM7CpdiMYWCRh2LBjTAy
rKuzB5UNPgTS4wyLXhwb+5Nbq3g16WmqUA858E+HTEc/GVEjpZw8otss0/vxR7RK9T1nBWoLmSvl
jwAWtnCksSSigfTzo336v2/Nb94a+sV/qw76f+Xr2+vPwUo//pM/pUE+Sh6ECz5tbjRCvAD/fGlQ
DbHsgCxzVvQh//uvl8aDGIwSPKBftTLjkAD866Wx/+G6vsdLSItO/LfSoP/QqeZcx1XY7kpL+FVa
keNa8HvPt04snZinCctDAkf2x+NfZpLfy2HowtGgjghxkmt/EZ3Bz6/mAjVgNouxiMlBsEwazrzz
KE/dojTGrP333/WL1Gf9roj3YlU8oSmgp/Hzd/Es8j4yXrzWhqNb9ormmmnLO/sLmw54M1n6my/0
fgXk8ZVQDMG9E16POBJZzM9fORGB1hG2E59QWsUggkgUvGrUkDSbxiIMexsij34GCuq5B3tIjLcT
bNHwlTcjp9ROJMNWGONzwpxQNLdrUl7UTGwI5kjZbzUuYaTVKJa6OImO44KgHUcWva94qs+zcrAk
FmV0LC2lnxzCrM6RQTttxQAHY3izN36SC3C2yKCPeE2IOUz6ed+R8fPBtfzla8Sm9TktfApqbXJt
D3O2x2cASwq75WnhXHCNYkSG2zQnqsDth+ob593mdoFI+OTS6djUMKroLVD5cDLKnGy9xpPdxM2u
Wzr3GBq72Sh6ZHsnncjl0F5/GTi6uVFtOFIYKLxXu0ysE93wbrcoazx1gNMJxJiiWG5Dy23ee/gJ
V3Kppg/45KlFQXKiJK9C/2D3rvqUFVY00uBJaX50m2Cmg9N/wrsk5p5uZpsfgjqgcjrGjPMtket2
u7G9qn4bVECALSfHj3lUuPdRYkcpoL0++pKHPchlJ1JAwuhLNGzU82w6KBPapE+HXvpWpCWuiKz2
y1u7NGG7JQ4KGs1AeMc81COd16XcFsATdi7k4TNVRyq7fpaL28xjCz2h5Y/XuEo6B3LfO7b6hH3Y
HJrJ1gdAwmSPT42svqiVUJ/W6fus8naXeHRuUUNRcHcWkcJT4uakpP9ed2W1fASPaH3wQHxdUfRF
attPTnEha2NbRFfkMT6pxnrwWfYuYt/2T2askYvPWXGFV2r4kvRSvxXOnJf7BV9hvbd0Fp25Bf0u
jeV7p6EoOKO6IQIZ41lQfrE9NqO0FS5jS0/Qe5KnqOcE1bG1PFot5R+axBi5p5FIFtfHu4DHaxO0
+jK3lI8mTiczTY4wf0UuQKyXFXz2YnpkKdvl/RTI7j4eS/dKwu9i1zti1wkDn6HN20Op0VwTMOnu
c8d8narAOghlaSTl9fKm14MMT1a84WMpbqGiubti0foekQqdYk0YTRdl+0EsLxQZvRus6tgL5qW/
sWBV7sdIjg/UWwegGpE5zJX/oR6rj4EXN+4JZyjNlo3GIze/1zIjUAlW9gBgcCjIyN7QpCLaYOlz
syuSqhB7jipUn+eyo+CCi2yeLiiFJpRW06TDUB5bVrI8F/1I2hkEsaEfiQiwmm6HWKXPH32Vh4nG
S4p5wYyPwazTfYQwLKFmkKoCYl+B7F/QnFy38nV9HM0ig5fJ8pPwEODDEBe0EHobJ7w1h4c+h7/l
k4WgJT6PcUnuTYED6OC1mUluZKcoXDSVqse7RFpJCPucplh6GcVkyBOlHo/ik9umq9TPrmMr3Y9q
itznfBgJ2ekm5sgvwZTyoFKdagsgeZsM6qGowC91RyeC9oBGoHiIDFgJZddMw00ViJOxOSMH8Uwn
JvbceN6MA+1yMRnOF+NigNALi2KCwJxxHt2Y48U0iRP2fAoktJQy6BZLhO0IMBkaRELIoTuSgfaA
1GZ8l26NxJvDc0vLjoBTKt58Lw0pYhYGctDb3q7P2UQOuq6GNSGQbRgvO32Xy873gaoFJqCMJXvS
IFRW7wX4cgrWNl06a8ZFYMVx9Pm7q7ADI/mw9DYhEALxa7szZAZ9mDy//epLHENcCHkRhesTpD1H
1bIbJELDvZrH5iK0y+i2FJl8LauO6/NK44DwDIijGYsVzYxpjbKyxJDBzdDVN8Bb5bNHXfauLHK5
7EIw/Q9JhUh8QwDggFWvKeTAe1vuvq+t/7sL/O0ucD1t/M9nJ3aBffGzQBxqFSep117/3/+Dezj6
B7JjyNCrTM+X6zbrB8vKCVyyHGyOPvCBkYmt0RB/yMMD5x9QkPjrUIsRZiDK+uceUPBHAnUqmiIO
CWzd/P/m4LSmWfxFnLRejuNSxMGKgDCL5WvdUf1FhhkGBibSYPtfU3qN+TfWktizd+PoWp3eaU13
5zkvk0wf+tkDqtDDSxLvU1y29ZXTcNhwD61FPW5TdNQfqOFFsU2zFYhEOj0pu7JyJmQfc47cZCB8
jIVXF6qsgcI0zAsUzHyA3egEQRuoDbUXawQTtAbelyzOGufyHGWElC2DTafTw2/XsTqylEaUHrAt
hjG6krxvM9L/Ugwxv1Fy/6Ig8yUUKvTVEgmZJDrm3wTWTS+h11Li+9r2oyHkt0qCFOMXaxhboyih
z2xtJ4d2HF08lc2PfoAaUG1dZkp+Tw2n83eYrF8ML1wSNiHE/D58efSPqGd/fmBB7k5EHajkiwMR
AzaEnyXFefEHOl3H1EJvQfkck6yTwxBsw2FT5BMYBBysdERemwlXKfukQRCmw2Le2+l+iZNl2GEt
5lHsNYlT7AiVjK1pL5eikzcLSX38Nc7J7HRR1yCTin6zi/75JOIHNjeZUzsnHuFEeCncn39TnBbw
Somo+GqP1iwfRJ1ZzX1Vxs1y95c38z+cRX4Wza5f5FEeQDoqwEz+B0Ugc2y0yCn+4vG0OV+3pNT7
5MnZvOGTF+T+7dg3gqAFKPKlpbetkwTmnpW2zr/9/ZX8LIT8fiV08rDqIQ4MZCTXW/KX987xkhnO
by6/mD5U8ka0cw5uWkFrCrwz+7FFyP/2JlO5gYD2vdgScBfWEspfvtFyEivAfey9l0OnmnnXzRDE
i40JCWEdf/Nd6yD8l+Rx/XVMXD5pMwz4cHVd/Pxdboauqc2E+2Vykj7zv1JjpW16EaMkys9J0623
uJzlmib197f130YSG8ZVGI0YORRMur8cNj1kI4pQ8f59sqMhJNw+WDmSsWtl3N2//6pfTn7rj4xw
9XB0wwfB5G3/ckPzpnGKERDtl770RRWcYGbXT6WrmaO2OkjipL2dooVWw1WTqVrae2GgBj7nVE5b
RCIlEyJp7Tk6kA95TmiDv/0u5bgiUVGF82kYfb9Sp7+/6H97MAKFb4QpiaeDg+PX6d5Bx+9Orl2/
1zN1Jm9DdGyRfzPkJYiXpqlk4+3iiqyC+Hc3698fzJo0xFmRgiBpn79OW/FqimmVsN4gUzsuFNxA
ZEO/DcI2hXDveCWM7xOvSRG8zmmZTJwglVJRu60s6uqPqBFHxBBpOC36LYGsFB08wuXnS1HNPk7D
39yl8NfXkwsM8OOvtUQEu1R1fh7A1PZaVQ2qeUvDzOVVzAFoLXe9nDDPb5aZfbw5Rn3byxsLrw1v
Uw+ug8WglvPMZBkVfjK/MwCr/Jvs8dCsy59fLCOyF1j4335MwH7cMruIiebyS59EEeU/UwUFI9WU
uufp1EpLlmEAACSTbrBPrVO01acpX+jC/Q4/AFbX06dlXrcQmw7YCvcCH9DKJgS0J7v84Pqd4P3u
0jFbSyB+Xn2VI5Fqzsaja7Hc8fpH4oX0RYYmnuuca3RaNF10Q+vBeSn6Bln9Hp5fuTwv2gvMo1Gd
NPegeUr+blrnzCBrTGPDMyNeZ+SrMcNnBSpOr7V40TmPwnvZNHYOU+swA9moxaYnZHsFKJLtxl/J
ZNBX8gj9K9Uf9BhULGZzh/BGb3vl58m8z5HAGURbJGhyuvTG9dvISmvljRdhQvhEW0cY8oborV+X
iM7mI4Koqb5MO2sezgR9ToylKYzXmQ8MCZLZ0NAsRy4a63XN7MLY5W1rQ4oj7rYBnVcUpz9+AIk8
KT+VBlok851NoZkbKmh6zJf9lKyTWFkFOAlWTank/7KgxdK87dsiV39+RkdquNrjJRcZ0F/a2eje
vHQR3IPBy2a+empTJsfZa/hNyY+76sOi4M4JIpv4C+OoERbXpRrANUCCWL+RUFx2bdhwJbelnYOO
n8dEvw6XJtKsWh54fwZNjm6tugff0ATBIfcoc6EJQxLIO2XqiJb/LoGwwDPzJpsP9PC1xcEB1HcR
emcL4fH83gE25h42k8n5fsHE6MQPIaGc3JOFllE50nCuTYHRb6nXvVvuTB5/NhNKvf6IPGrldN15
sOSTPTFc63MPXMMssFcLoC/g8bD+uBLldT7/xCm08wwtbuPzKc3c+LwKQw5UI+fJa5qkG0WGOpc0
8+v5l+OQr9fiw/fx5VYGAa/gHBKQR373IiVVDyqUXB7aTQRoW5TnhKnf9DQ1xEs2+PzDNvJA76Wb
nARqfmNnKu7gQAQrt3MJg3XMIVoN/BN9APCDh4R0aIbourU2j21Y87+dE5a8wEFO0/eGrePCLgNx
Fe85gOllnTxWCvhrjvdxfaV9in0NeAjf4UmInn0jSfZoBcxjQIWBu5A2QdvPJzPZfV5dm9Jf2wKd
6gHvb6krDeuo9jJyOXbE6SyOOE1huRL+cvsxSkHOmR2+umCdmdIyxRMubQom6NtbUmvIDfPtHWMb
gUViaHzeiXmeGP5hT9Xa3xPqDFSbjcLYSBTWpFYp4r0QkdlbhJRedts4pHnBGFkJkMxW0Ftt5+Dy
LhNomPX22tsgLhFnyXYq+94aL6GwBlwj6jyeTedDYRGvdY9jFK5dnM9J8xBxDPdrwuybaAqpEWX+
WO6ZiJlu9tpLcgR0SQukcAV5yhDcQexKnQJYyQdCeTaEP5IL/b4QjuETnQpHnd8c5RMB3ulGpVOa
Jlerps0JSHKkrsrgyfJ1SgnAQ3TtoZjjdVyu6ljGUOxlXZFcNkuz8GedawYFl154TJV9V3OXdtWK
D603kw29oLvpoX4z5eZ1N/CUasgzrAVAZ4lHJ07NXmdBbPIRI9fO2libg63bkb/JEabjz7SK13mp
sM1a7oQEwkBK/SFhemqRWXH/dGoxOwB5DXgXEMP2DCjTKY+UY55+N4tLdHGM9LDsFy48nayBr/ad
cuL6mS5ZjszcBqzyVSxa3rzQL9dFVuuhYzhOEEgaYjJCNTM/zGFq+beTPSP82TBFCf/UApfnJ4WN
atRmqZCdEVxCoWJ+r8KO08gf5xBm/fXmjEBym+hYUO1F25Sk+ehZF0O+4EejoufhxKOHH+99mtTd
Q9xN/PisYfGf92YeA644yEeLu9RUacCLncN1ZfCEGUw+wFY/hnWVjeufzX7jMXCXbFo3zrKx1um+
t0IWLcdiVHp7L1CRGjfsRAG0bAIryXhz/RABP6CK1IEv5KK/z3eIzJW2NsHizPKzVY+lerCrqXyM
cGuT1q5Ul3VnWbdgUgCqDe070aCddQl9y/KvSQYMvC0pEVn3mbKrRGwREHn+xc/LRd1XlHXV64hp
AgUHqk6KXFapKQp5YmzrTQh6Q+AigFbYEyE3itDcIKyLp2a1AVXOlVeyrO7jUBtn2/GMFJP8BIOd
pHg8HZDbkwlcLFv6ReGw2PjBXLrRBuX2rD9FrjP4DxLJg59sgeUWE0RT4rHjBkomvz9mnMLdvNAp
K1m5DVCYLMsuysrFVniloJZcUnGLCcLWZInbttMeTBQktDPYoC2PAHTThoVP6uDcU34LN56vXWc7
47ht0H4nuo925G8EOcJKVJ00KsvkFLie3nWNPS6XpB7a9tEZyVU8xC24Kb0hKGbJtmnsCeuupW/k
Pw094Y7N0W6Due32EV6Z6XEN+dHXVq/BYaCo75dnXTOqN0JJqZ6WwCR1Q+dBQos/hgR3LdPGNkGL
zYH8LtJxMk3gxNL4YdVs0Kl6qCkDhQ0hfHOqPKy/pATfmmlXSORj9EuER5rQgPYh2LgeKjD7CDer
E6sCyhalPMZkrcubyIHHXxyNbNnWpl/TsPZ05IC2Kga32TlCz4vcSw+Af3KjXH5MfvfH7tvGGiOd
+zGpmqaHlEh6R7aFY1u14mmcRdv6O5SzKjbsp8iaLE6zCQS7sdgeeWEUYYKM/9pS1HuPkGfMuqxE
TCS83F24bh8VCzivQ+qjGpTbStjrDjOz4OPGhxy2WFKuP6wdw8ulI31eb0XaGZYeeg45q4yuBYTX
4xwEfOZhEM26+yMgaT05BLkDU3KLSaiiJzV0VSZfRN3XXIrTWgHSFnAX1BraoRNMk6KH2PYIR4C7
dATSxS54tNm7EfFCNAJzWY7ziUkvtsZ4ZA2vemHvjVPLxTtFvluyJQKG6jGnVENl80PZl5DWshUC
ciETYlW6rNEjPVC2JuMMzqM9tHWwrpzYwSauFNYLMmNcAkvQLA9gxvE/bZs4mvgwO29i3iUcYASF
HntQVswohY/Pody6q5CP6BTiDhz1Gqlo3a9GsWG2cfWg5Ns4dnVzkC5K4iuC3QzLom6hF3nnug3W
LUsa6fUe6aaW2vmGv2aGbTuWjhkwYDk1dQPaJTGMv01kK8HtZw5HK4v/aC33yL5aV6k/VjDfabiP
BZheZjQZIaCDwYLLkhvZJpB8G7jQFYeOckDZT5Iq6wpXMPQWHqLTn3di6XiFNkPrgQrdBHXKJzY0
Cyp/Vzj1HEKps8p1KGY2+4B7UU2xeCmVw8X8eIwsmI7zzPFv0I/oLid+sQfVh2eE0ipw6B0Rczym
d8uY23H0yRQEARWntJVJNV74bEfNI2nJ6y7WWdq1+KQUWKb0orXrdVNhazqV42Z05/UgH8qOwVJR
r3Mm2OK2CvSO0Dp2KQkoUZZL07REMZ3sNulNeLfo1G0yQkQDmJanefHX98DzgHJ1G3hGbLbK3l9f
ka7q1oIXjkH+Alz/daPmlByNs442HYEseNZoa3ZuAEp+l/xYXVNj8CPS+qQ9JLf4tdgFEmy07je1
XMdjXOY5O2ubO5B/i5eg5h/49+vfZleilruxRGwV7qBnUAzdEk+2bg0p4gPb3Dleu17tj9ej0HS/
HsthhCp7VD0TX3XlTZ5JPptwTGgdEydeBLzVYAUZptnMniA/+Mpfx25ZA3rGouckRu+Ssg9JMeID
Ko9NLUwqnu0ADpfvqhfFT7BbQ28470mGy3eRaTjyJUGUqVejhsyrNn0xYB7DkTD63pU/QhbGcChc
xlllu+shMG8FJzbbmdYH0vswGO84ePKc9QxY8NIbXc5PyB/myRwnYNfFq0mdiZsS/9j59Ilt2Gv0
KE35tdlEese8/+NEjCKVSNXDlCSowzFsdMDoD5DmKRzPlmVN754BanlHVAKaVi9F6L5ydFTSW6eQ
dOPhER6lN1hbuADcf3pM66Gb6Md1F6YmZz3kB7Dy+ZdJ2zA+Yow1PDVdUdBtdlNoEQyVKSPoLQWR
aOjjsQlhDlicjjPvRRe09div5weGkyTxjg9SmFP42JY5WZ7aQEw09DCpMvRPiEfoKc5FyD7qx6uH
WXLdWpVWFdWEjcEl67udNqZfBwaoJy6T6JvvGUF4rMf61vYnwta5Ict64haRpbmRoxOsrzin5aS9
lrRr2bzOY/7/2TuT5caRLF2/SlvvkQbAMbbdexecKVKzRIViA1OGFI7JMc9Pfz8ooqpSjCyF9b5W
mcqUCGJyP+c//yC3QZgN7a0zuFO999rBSHcew3TyF+FpW9QHYmg6lk6H4Bo+xreairUqLrO5EoXT
ySqOq/5714hlRsJbCt2azKdLCv7WWdYgVybKS9nNXeCPxgKG7Pyl8wnBNWFkJfGYxaLxJjpeq/Ni
HnSaJCb6GBRmGbc0Mtr5qxMrxU64HsI2aJo1FsRWcukWgCP84jTyRBHsMC9YDbdRIzkUu+II6YMW
1ROTgVBkyYvIh7lDR/8yrxz+QFoetrcYF3Aun6NGf4MZQdnBYYqBzmy2c4YZefCge3SA/Z9D0Mx9
Zhdq5PmtNPKPU39RtxXn+5tDnqNqwFTkndjWDOdBhD/HWXGfzzy9YXhvOwRFf09/PBopQdtsXZ+f
3a+HmrlKpo9KB0E9TJ6PiJiJHfrUgU78GVnBvD7ljiU6ikIWa9auz4/1jgb+FT/GFkS4hrCxeRDw
AM5hyprcpLSHHvLnIFRLI9OGyuRJtBtcKeHWV8pgL5ycnEWjxR0P6kfbpaWXLovGpO8GhZgnGz4t
77z2/FiZf84+UO7MLULm2pBZj3ANen76/Ov/cqnm9BkKWwMClwG9av7/f0Hah4pobnh79ksTGQPf
gw1qbgvZXGmhPj/UL88cHsfCZxTEJAg3nnO8mzIqMjMKqBc/9EQ77oLRi/uTMbnzK+IEsv/tI3c+
QoHjRI6OScAx0wTzFzpXVdbCk+D3L4UVzmtUM/Cy3bQRK/sdvPN5zwp86n2KiZGf31JCbaprVjtl
7z8/9/PLzNTURmU/T1V53X7xWeqzZuh6X4qvYBK0jiPmkeM3D74PK+DnRzq/yibODZztbOLgMkE6
B68TCkNPGLHxtc1yN7lsinRuzaOYTm1HKNlcNX5+wI/GKgxNoMwCOzPkxdeJounsCWpib2IxGauv
VcacCKqACOZljkVx5L4GVZkOcC0iOYb+0k3skJ3x8y/wbonz1zeQUkuYPlRzDDRcTt38+AzTJYap
UeAAWYb6KLM1s6wJJ/0SO+J4+6Ns6apwLo0JSJrX75+guGY3M+SlnAaWx77/cXEUJDSuEdD/yFtM
DI2gW5jw2mRLqJM+91DJIIWEExYZScNq7fb2vFl2Y5t3OVwGnRd/IVidqEUaRMvjNwMGSo+XQwJE
t4bKHpnNPmK0TDJqniDgZRuCRsNioVWmSxcD/WXezuFRUNsglJ+3+KKoCr6W+wOgryntWTWTxJyL
JmzR3is+05iL5SDGi2C2iIBeBjwmYzztL8xu6GaQJUuAZT+//L88cK4FLcqBS402/9dHu6WzCDV9
Gp+JqhfUrLJo5hbIn5q5AvgJWX9+yHn9/nDDWWr99xkNZnWe+4tLmpuOTVl7/bMvobOKdRuRLnFp
e66ZaFd6jW4zWFip39JEDQZ+xoCwqZq/zedf4/zMiey0dFbOmcfJO3duKURSRdZzL8PnJAf+vIhU
1ahHM+nN6mjWzW+chM5XEEipsDdBihy8+whuP3vIHUOXUVjU9deuJEjzZMfu/FjEcTFXVp+fl3n2
SvPpHoxUDy0dkzf8YM6qA0nkXJoSRfSY1Y1OnDDwZSM3EhiVTjdCds+7wMBb8Q8XwIbncrCFf6JZ
s/GBKYB1gWBoeeb5fdGLlDrUmJCDPOgRLrxfQpdF4Bv2QOEMaw3aDAN4jZPzEnaeM8PEsLH47U5D
iJZhSWGzF2E/OU+KjE7N6zUNQTKUe01jHU3R0mGk8Ru/qLPrzTUgL03ovKf41v06MbWJ9vOV0w6P
rYrnnTnIGVXAucLafjp9fr3F2fM831MWLwfCBYZGrKPzJPQvmzB2sWCqhhU8eFb+fqzWBjpNunIu
9VuWepagH7P3FJIOVyEbEBkht//xU9W1M0Kg9ToX17bcGc+kFyxY6UyiBUEUtCRutelY86pi8x0V
Kum3o2hpmNYJDk40jROLWrf5OfhjWjQPkfAlMXl3Jk+f+H9druYbPtmoEr9o79Nx9wc00RkgoM0K
f+X5TsYGVQvuM7hHcd+bKpqB5Z8jNN5Int2YmQf7XhCAciCdMlQPBPL5JfU+3j7XxXPLhSwOYQnJ
BtlAZ49wyRnAgi2Cb+SGuV/iKrPNjcl4dOckHqkrQxo2G2kN/oEgtzRYFVaQ7UgCSk+djCCOZl6L
YquWYuFDSUT/iY7wMaB/rW/SAUPkZeh18Cz9+FYxavuGjrEuFk6loQFmluNcY/mbH0I9qi/ZkcKJ
bj3skpWGfPNpYo7cXQRVj9lGAc3SWoEaJicEIQ3NQQo1cUmS5I3FrpRsrFTDMmKsulVTjOWamXh6
IrbDukhTkylBXDTAeXnSM8JrjPQrrAn7gJEYnOx2KnVSh4vKfTDZn1+KMDdsbHacEAhD1vXWjLPs
oUfvesLNBJ24p2tWttLA7Z6T1q9fU62o7h2rrimLEI3ExIltGBOMSJWZFw3kcvmRtmgthTiNPJWm
9zsAmzCOn1pcu0DNA+w/mr7KH6YY6inlp4Y4Efr+Unf0W6vBnskcm/qr4U7WY9ja7TIcHHVAVBfh
WT1Gh8+fiI+LNQ8EY2UWszlt0TIpFM4eiBz4x4XCnr1yv4YbglmyZO2kOeI5p9Kdx88P9vGF/nEw
F6LcvM1Tw51XJAF+KPTkfvaKPFbBERr0B7idJjZBKkG4KFr6PxySbxkRwpv8/Ni/PPnvpwlXh5EN
i/h5P4IC0MfCqlKvZTZntIq0SIaNEgS9/GabeP+kf23D72dpmThC23OSvfDPm8jBVInZwZV5Nfo5
5UOYbBeLnIYnguSeuncZMr27qA40iOypjXGF6HAs3naR7awGwsHRO0aNc105lX+RaaX7yH5Lhg+4
YnNSiuKFgGGFWK8xrFtyXbLvGE16xwx49hbzOfPJj+lTFwZqa5zsE3ktlM9zrLnKAb1JmMUZvQ+w
Vvnja5xjdhGXbYVG2tZfiKwQxLP74je10BkJj0sylwGUQVwXwR59XhIYmlsPFqT6V1JFuPghST1b
kcfpbpiGl8zw02dycIdVa0qGHtjmO1hajKgePn8E7Plh/nBn3JmsOfNB8DxkGz/bUIwkUIwPQvdV
tgwOgNOqhBAWdDyrmikJoYwk/+5c1QwtOXaFYtqTqx16Sf+yK5yuIYlBateTIa2dmEaAswr6sIrA
05dVol1GJI8RRUEGhlDiAQw0xbCKm7ZwGIyNy6kZGLvERLMv3cJ37ygbu3zTY3MxOnF0JVyidpBP
27tI5sW1In+kwXqybv8c07BFlWYmt6iO2SCcweg3wmzgVosqkg894aLxMix1TiAcsILAO58RgIt9
CIMQ9sR7y9a8I6kb1pMBqk0wWZLYw28e+4+0JG4x15bUT9p9h24WP++Pm3ULJMx9d4PXMrLsK43o
nhN5vyNM7TLTr4x+Zox/fjvP7LffD0ltQIuDCgsK3rli0NDNtFJsnW9xEeNYpQnESKh3tQNAZbxh
ENGw0tuyei0ERm+RHJpjRJzyLSEUYvP5d3l3V/z4aFFqsnziCO3OpuBnp1/1yOM9mWVvcmDAQN+e
B1/zagq7ValGfPl1MwHhUHlAjIwNVkiAlGPvQuiwK3AS3ydpQcNnrcpRAERN2s3QLxB6ptX4zjlR
vSuFwCOtDeVe2q60FthCmP2iHg0TJ5pCV+2iMrx8CdfcLrYal2UTJ412ie6p4xcwOjo6mIHdjEPP
dhbbGEfLnt17mRNYeFSMeakohULIQOZQBqUEY6Z1x9DzZHe0ptQi9T0y8GwfqlRUi8qFLsOTyLho
6YD63Qg/yhi5wqgbmGgyV2qcNJXLGu7DZV/4db3Io8KBV+uZubGHnNJXW92R5lNT5dEXNDfNdysy
I6CeLobD//nd+XX9cS36BBjXEOa4P+dLsjCZhCZDnyCEBh+Y4y7iP2F5jEwNuWX0VO7rVLcBchvt
z7GLMd4bna74nbTt7x5Yb6Ygs/VhFAM28PEdgSlVq3py0zdcyHDBeL8hBAaE6THCjG+joz99KKus
3eBMF6zJ/BqeQw+HCp6TyXj4zTX5mxfWs1C7wbY04VqeM3Yn1fZdPiTxm3R15750jPrOTDWMawB2
D+yL7VWLUcJFYWVqj9OQcdnghQTEnjbDDYlDHoTkrO+OkdaK7zDnS3vhlVFy/5tv+UvJgMEw9Hle
cTjTNJVnl6xTwaj80mrfQL1L+UhlYddLkMRx0RJ2fGU6XcJMqZ4cD4NnO/8eTrqbLCasQfutcPP6
ZPupPOqYmzyalYXbZssusKniKuVyy5iInZJx74/n7T86i4exePu///3yqshGimqalG/NX/XmlJHz
wvfvhRanqJJRFn2QWvz8o59aC9f+AxiYzzFnSBwAzfyH1kLzxB8wvtBTQCyFOg+M/U+xBcHhFt0u
JE9dOM7c3vxTbCGcP/g04ek0kmxPpuP8b8QWINgfagi+FIcn54OP5FvMbjgf32Gvc/I8H6Wx87wx
S2GD5t6yot1aTtlYHqNerHFU/Tpmns3AlcCdR73FdMfSRX6IQtleidzB56Pq8HN0GdivK9f2bsJR
FgcylNKHPBvZoFk69riWPGCMCIVqbMsXnci1ihQzLvAjzLGMKbUDGVT1bCidqVWvdpDlhzyU/hFn
RihZeplOy8Gs7RdRQN9bUBT7J9AE7S0ZSLJJiC0Z3mbbYze+iGqrv4Kmtq5UDTQ2xAc9Tgpv63QB
vZCwJO2AhId01UIIMaCI4tSJKU/RQIXLunXhxXLhlhRTtUKitoITMlwZ1UBgWRJ6X5G3EgtXN53H
ZclNc2cwETrGhQELI3GI9KByzOHEQJfZGKVuLYI6+dNCM3WQPcWi7U3Wyq6s5AuMCDRcRmCtNFIc
lmkg+hPuaSN1GrHheyg3hMwUqrgJcFZ0t0NATpQ+dNpzQ/rSqsVr7jHEhXSWU6YWFltd6Z6KOuqa
pesMmr+e2K/xFUFrWW4CX6YRHBooMNdlxEh9o+Gk/VCVnvXSgpvDmEj74tmSiMNmIOxh6EnRwwrS
4FqEOZI2P7EJaxvN3nignocJkhZz6g0pRDQFFQHDVzUdUrsE5y9q3LyyVK2JHsLmxgsZGYJ6lnS6
fdbmB6NKyfp5/9fUgIe0DNhKIQu3Gb+HkI2/scWYuMdiTnYz/YmMdLtRwSnG5S5a2i35Yk1n0f6m
oZwMxt62f/LyBP+CrAn8k9FqzazIJWOBRxOJN1oPTuM9Val383baDo0v9iJs7JdiSMt6azUe5oVk
gWK1k1GDLEZl5AdTYre0jK2JE3rPLDJLqL+HJoGeeIHZFV+gN8pBrl0Zc3XxUyFMuic2aoFjXqLQ
RVYiXnnIU60VXE3HvIKQ0QcbMEpd7pt5nL2Ai9G8xjHj+ghGIK645PNFXPGywhERqI2KRsOzqWOE
ODvqWFg1zKy4+eS9qYlhbwJnTMsK6RG26tg27i0oEvthmPMJp7opnh3JWNnSCk4iaE39BrcZ5/h+
RMcFXtt0miP2ED14NsvO5Ppilhuc+ippvCXdj3QZhJrdtK0qw3rRx7H2CHkc8oOjV8VzaRrkmZbw
O3cSEZR1K2PA8gTD4RzwO6ogLTitEMvSjPh8KbAf2o6KzCzUgM6T1cSjdnr/lvDiWrlLRyvKlnCB
+bKAYzxlGm3YFYPvjFiphJTzRe30s0+F6srpvulhrm5wEuGWmvp8fWAx6PVVM/r5AUOv/DBWOT/7
Y4Qc0/Nl7SA7nmhMco0HAmZntHX7lBWK7qLaWUo3xk1UFun3aYKttYgdbX6mDJOwXUnTobZ52wF6
uoYaADJouZcD7Hjip3xzwk3A6e/wmBluungsntmuW4GvY0v0dhpmWLJiyV4cG69d5oXtjQsbRVu3
qM3aX7d4fYvlWNXuFVhCcIj90T9xM51whebOuItDyP6LtCItvLHaOoCHaA73HU/xNu49tZmEYS71
Ttq3bdTU32JNGGKBJpwYYD8d7j044Es4bjzYZgVWQ8eUU0DrlsbZKShmiymHFrUEx0nhz/kZWlMu
Gfl6s5B21xu++43GxBVrAyNV6MMBNMEFDkbWXsrY2iPz5vqOQxicKkCZo9MSZ8UBFaZdhm2tERSb
cq01ArZjGdDSKRR4ezFgPke+WRguK3aM28wosrsUXgflepLiFUm2m/mIyN7daH01vlmuEiBqTbSL
O894TW13OnmyHVwSEskNxlI8ehPl0D+0tj3uC5VhLRynwTKPtMcKmfcpxF1iRdAYqVmp78HnNwic
xhExRcWL9WKKefhG9xScDqlPb9F7ejF+KPUByzg3XnTxnG88yxGfxySuDwRi4X7K5N3Yt1OVXCqm
gyvMdjFiDN5Tk4lpczFlKa/APtSbbfukK08UwEQ+juV4wbTQu0rJYTaUZg5rlGikzySIAIxjmrCa
306WACvXIWV1DoxAdIqrmgiwy56h3yLR2uAGkiWryejCdAarvTOy7IuQ8GmWjV9PctvBizkWCSGW
j0Eh8lMfwh1Ne+smtLvyDqaCXPSyNu4Cw3DvMxdbsbQdGu+6pPPYRW5arHUZ6l+k2Q8HK/AeJmk6
T209mtt8gIW2tfss93k/CILbdeivefF7VAO+wq7BvKlrLCccVYT2OtVD/Yi/PrbMAW5lt3WYE5zK
HBZVZUUkaywq8r+7hsjLtNcznQFb2GOaOSh0BVZrx3j3tq3awVtI26VGWN+6EyXt4aA3D2aWeM8R
fTWeyZHQr9vYavHdwii3w26uXhLh/XVgez8QMt1eNab+ta+8cs6wxgnb6IfCAVYImiMStxjMxDfv
R1+zAFhj4zZhJvK9s4bq68gguXwZGgwWbiMHY41DU03JXmJbuyzK6gui/eA2hLYKMTMJMAk0hmPX
GGJJVuKic53qoq2Fdl0hoFnXJmK7xeiqtxTbymM5RfE6sEfzNo6a7tmLHHKhVejc+IVvXw9tL104
NqEqFwQ7FVcuSvtLgs1NAj9bXbu1SCvAAr3t11wud8GkcbgocPz6GrWNtbTz4hEbbP0CMObUsCWu
w5jntI71Z8OUmFvG9RE42PrS9+Qv886NmBAHtYF/YRhi9G+BuHl5e9m61c5r+2aRuFgeh7rRsmrm
xWAd6bstzpB0PzO0RLqShdk2bH7aFX6wJvbj4VH1Xr4zU+MpiC2XIHlHzUoJCwuvJlkh5ElXRoHl
aG0W1hp82Gen8IMJZ8MSXoTDFr7xLaEPC9MsxK0nLecG+9vmPqcFYqPPmMjWcdjgGD5sNLfpLklX
AHZv5aOjl8Yhq7QI2tqchAkMt4HoqO6jOO/gZ1J+bEySS1eDmcb1utAhIbeNg6wU+W54o8hK3CRC
Hx/0quoOYy30J63iDztH5pesQCQ2D3WEoR2SOdHo3bbAj5gfTas4CLLm7kJbpd1yzOp+jRUJoFHY
58ZFC+HvNoocfVUFzt5jun7MIZM96jVc2wWJz6ewDb8gxAvgjhoeBcXQyccOG+IF0GPDjluLC6cA
3ht0aeJ/HHobp3W4D00V9w4AtO5PS8IGnGozJqHNm6CaZFkMWBhbsNXzQxr6clG6Kt0WveWdCp8T
74qhug/i3N3UQxnEa7bDfufBIltBF0qA+hn0DhWGIahqcIaOQ4sZu6wPuTVaWPeGY3vA1x4Q0DQH
seFvBnywh9DDBM7uXsFlne8e/Jd1RN4q0a1+k34jgbLcgaEH63QurUjvqhaYfqKvtvDoJwY1dtaR
VhZrrGQxf2u9FvjFMFfBmDbLsSuxtoCDdEhi1V1N5G6KR/Y3+BBZKsKOmOVB3cQN7tR1Yud3rRqk
c5f6mpiWtuZXIIsxZUHWW1iNmLrc+E6W8QLps5E1EdrXkk1WdulwzJK6Xo9t4g/LuPaC25oy4NJM
i4KVdxTyi6sImyccL6bGsnx8ko38bgrwO0WfHW7KpB2Pdm3bV5AVyor0i1JbtbkN2zFPm8NglOPW
yxDDQcOuH8JeXZR9eSi8aViVvlleqzrHtZnVcts1ZXVhMHbaVtI7Uaj1G7fGXdKtrNu4G1NI5l2S
JJt4UDK9qBnvGZvInyZ8LPB8jTFdy3JSQE1numPgSJA8lGTMbXwz7RZFhmG0QGUHNTyYjgm2rurb
2A31DSTd6VoLsfpZSzS07Z9eUzwU7Zgl7qJCpxSYW6WxuO2DwdliSe0Sa5E+Eag+hAcyv93gKDL9
hdFRgas0hVzk8Szsyb7FJn+Kx2TtJXE4I8iWrT9Fin+r+kXFyPJmHpluMOREFYrAq+ifphBzYwuu
hHRvpFmUN+x++0axg/a7v3TyfyPMnhvffyGgqCxxvIIo4pEnTOrVL2hsQrEUIJTMdziiUtzbUUyZ
2CJxl78bYv7dgXwH0+2ZXWOeE6bQWltaSVLpLg1T+4U+Val1k5XUatwG66WOPNosmQ/Uo5DCi+fP
T/MjIDWfJgxBTPSIM8NZwD8fShfaaLj6SGhFFRfmg9Nj8RiV0UgpkVYkW2gcFQUF9aDW46X6OyDz
o9fDj6Nb6PLQekAa++XcGY5qIMtVvquNgk/vetlal25Smg9ZXNNBWcYc39xZY35oZEG5AgOmpQfI
pJvuGOz+DkX8CCLO30egfkdEDeJtWHhRfERDpN+3oylpZtyqsva9AH5AHWk+TKNbv/qVEf0mi8f+
OK+cD2jB9kCuDXLJJOmc75GGHbp+vc53mar8I1Y1hA2zG78kGKvgaJq338KU9LAr2Xmt2FeVI4Jx
WTNjVZexHadsd6zmaygqVkUgTmdcKc2ZiguyDv1TFzb+uktyniRrygJqdeXUr7rUhQ+KYzXTvelo
8JPLIal2UdvSWxSx/ZLbXd/c14Zv15uJUApowxnBV9bXiSaSgBFvoEuXgS1o8CQNaMI28aBcUTyj
zatfWSey797UZfcCTR+5V2XN7zumXjzrCk7wkSAnV5s3TJ2u2tCC20mr2xpJHN3i1pM5fHh+sbq2
8sJwtlVoOMO6Zhbw/A6AKKc0fnBu/gNv/gbeRCVuAgf+e3jz5i3L6jHtXs4gzp9/+A+I0/qDUHUP
Ciameu8Y578gTv0P7DOgzuKC6+DTOaOfP/1kLPMP/hNEwnmOygDB/gvE6f/hEv/nwO41MLIDovzf
QJyA/2cLLE5cuJ9g6Gla7kxPPoM4UyVqSEz6uLNnocOKvTky8LzrxZWJks1f+4hnxFKRn6I2PfJ2
n862wgZ4NvjeTCUUjiUvoTZb9zepvQpZRDVIgji2V/63AmEzvvPOeFCjoa8oruBBToRaYaCvUTTE
xkiV5KTY0WqCF3ftwhInziQM5sjsOJy2mA/kp6oeqwtMo8MruGH62tWm6RGPCAHig0/FuvLRQKO8
VeW9TKoh2+mlTxAvXF4Xp2jhEC5i5GEMBVpgg64XPpEs7UAyb5jRx03Rm2YY8ltPttnlwN98sUeC
ajCc960jAzBcogwoh2QhCey7EYRKEzl0b9/4nkwPnfDja1SQzWXX19rWCGIAO51cjkXedMMahjn1
BghYt7S5KMsBcfKCbQOAUFF/LfwCr7cutcWjV3GZmZ0nHMIM9YsMZArBAbIU0yzl2vS58lZkGReE
saibhhAypm6TutWnNL+JW6+6JiHZMqnPkuzCds1iCSk1WCZ96G6YB5GpUXnqMnMJcF2PrtMjjUyY
nC4zqgr8fJpjm1tfahhf90ZdE/DhMe9OVyZIEGVa6yXbrGrFaUgTE5d94W0VHufDssOh+BLdTbQa
hZ4s1WzljOCovnMdomzWjhPYFwJS1vcaF/W1pYw7t7tRfpqtMFIrSRHRb6y2jXJmh6a4Mljrng3M
yB4rJYZrCKE2yfTOGsY6ujaVMHMMG7UV2ZBe+GkVHH28Dm5t2KaXOMw9Rb3lrNBVJWjY23GTlRJr
sdYu13j0qV2vK/Amgz4oieO7oC3phbXaXQWD1e+lk2+TWHhrZfX9ksaRcJUpV7NJdx7sYj+wyYVQ
hJv0/Tcj8LVNbllIMcMmNe54yOUCvLncM7hTiyn1QYIARVYJNJwV5gm3OU/b0nD9Qz6bLSG9dVZa
WH+ZFJZwE+v9JsR0dGGPHt+yDu2lbCVjAUwfLlJECV8s6FT7Ig3LO5ui+nKEtncBwa1cxXCt1oTk
dsvUqsIr6LQ8Nzy2PRgovWUxhhRlWRihLrcwmy2c1l7jNzLcjX0zZ9BHVi63jqWYcDx6AX5rmxrj
bxKsbKiKmJLFfShD766nB3VQXmvYGd6bZmL393aNqYu1sMskNE4GTrwxCE0cHeARubeNB0DxNFgT
iZYtPaTYZH4O/Jg60cjxu+gKs1+oK2JOR03hynXL2V2gWqOMg1c3+CKL931uUtyk+RRzNrEOm2hb
4ULQ3XcRGvP7JokgCC5gRMbiih60i5+TBMwhW00dUTk4XNiQZ8bC8Sdog+bAytZGUj5DzJHpMsYe
nPuj5YrHEzGVvh5GqB6I2aKB04fKjXFfGmeEFpVKNIncjY1nPc92mc03hJFG4jxzjfy2AxNq8gto
IQKSRRYkjeAfTpDsYz23NRxQdMwIHrKkdVCUlRS4EHoqM+DFMob1+/bzn536dzs1Ah7Yu/9+p756
6/9r96KKOoyqt7+OMPFzmv/yH1u1/gdM6R/Gvyal6A/XNxJg/rBZL+f8S3gnHrmg/9qm7T8QGmDQ
w5SQgpgt/J+TSHZw9nR+fd5bcY7Cmfj//Z9vw//It/xne1Wf/fzXiOrzdgupEB/E5kxF4EFmOqu8
Lc0ZZOm50y7J7HApJgcIzZGnv1yUv+npzqvt94Ng8D2zRUlAP+cINHmnFXh+YSqcYOE2uPW0CvFU
XBaJ9btYUcqXD+3jfCiUctDW6R71X9QKuQqGknBDEPQOm/4onZ37TcGax0RvMdvX7ZRRaVvMAawF
a0X+4035cHk/vZxMmhnu+hQ88A0Qq35sZMyUcKbZ+mEHqeHBVO4TwuXV5xfzvFeaffrArCEyMKTG
feOMalkh4oclZZRIPPsHmOEnVtZ82dLpYfRT8pT+83H+mzsHY+b8gtIe0yna+FO6DK3PXY2FLME1
Id7srF6UFzJRBs4vPoT8xCYsN+2sR6YSpVpYEoCZ+WEeqwUQ1FQtVFKpalXnQYS7Cz6qizD2kn3b
u+DU4KF+CU84BaqukVSTJVgaRb9QoQ/A5Zt7M1biTzPut7Krm++Z5bHKV41unsbZqkMb/Vaxymbi
KixbfyXCRKxa+unTGAfVMXIkHqrCdKtwZZHK94CHm3yKRhdhv6rEbSBz+9qGAXznYH9Hn1uR+yAb
edV2mYE1qk9ogteWOPuA23XtNO0TUpXaWOs2QqnvMLPu8sj65kzeLbwjtQTJUxdgmF/l7N/sz+CZ
ZvOZSsTTilqo3CYl2TNVRv1bx/1bFfrl3o3D62J0tFXk52xQJpmgPeExV8MgkiUpv8GFKcXJ1Yzg
Ig4jgstqt1hEXfcmHM1/GNDSr0Yjjq8mv5QPDekfS2qppe53ktgEdvmhD0gmh369jvUhvMxqe9my
a+uBN/YHW+pOsu7xyx2XEiGmv2/wBBg2EXywh9IlvCOklIZmFTENxq5JP2SFERibbKAXfoR/qz2F
SVddZ7nB53jDYD7ggdYd8EdtdzT79SICcVfcVTs8BKqsLnNMColFLRPipHweEYXTQQkFgrFnZmDz
QWhSF6X6iZLPI86yHJaoD8z2uY2AkuVSJ4VHm1z5EIXltM6iOd5x1qSHJZYDiz4y/P2Ek9AxCMLq
tpiy6kZV9THwR/FMAGLzYLUi2ZXkjFzOXkQ7eOU5o3sn2rRNNmwzJZ7DpLLHBZu/pKwWpKHVkX8L
tyzeavC8Lyep5TdtCum/bkkVJciRGRTm2Bv6lPI5d2bPmcjBH8UYbAwXfKs9kKKIsmFioBC59QY7
mRxiYYPLiG/Ir3FLqDp/9gTCfIFvZrkaiv6WnNfHmMCkhYa30tZSWXeADg50F3Y11F3Z32pBb2xN
Eek7iLnpblSNtWdsWx5GSsAUV0Y7v4YqSOZly9TIQx0s9VsRlOMLgUvkyfLSHDsZawA7jrkVgx+u
HITtkPkUPIEkKN1VqZccjWiVnPdF07AxMYcAL45wvJiNNp+JvMvAI7AhJ4q+PwxxHC8ZuvZYDmjh
tu4wclaJ0hYImwA5g3bAXCLxFwKqw8VkhsaROszbBLHjnyDBxEuVwBNy3PCFYMYn35jGNSIU/S7C
wmJnduIrnupHDFzkPRW4RcvElRbRdNFYebvsAqyIQEiaVdCjASgRUC+ZJ2EDUha3cYn3bVZOr5FE
tUHFRPikF8huTzJouzY0/XYY2w1e0XIXa2TNEwQ8J4TxsTJwyseKpgl5e91rKyZN+aY1c/FCFE2y
yMOCadKwKQspHmy7mIdxSUU8k9vVN61WiBfWbW8fqV5sdSNEwYM4cB0iXgYptorpKkiTZgYai/Ex
h0GINYQ97Y3BJyvWtJ+rvK8XJGZoxEUEoPFFYK6QsQLhZNuQDWChOh0esZRwElJlZFe18vYpiqJE
hXhYBka2lF5F3JinkZyqBasg0bxLGSRvwUAc31TWa7clghm31+JPeq7uGoWF8hc2gbIrlgSHfN94
OEL6TPeOMqud8KJklfdT/yWHoALxuuLIuh+P4xLGYYYPcjbE3/1YS2dqsP4QwHi5FVPsrESK24nB
PAHmJvk2WyK8yMuCWcF74gyvxHhp11B78bqoaaYrNz7ZoZ3tMHvNsd2qmDoa1mBBBmH1SL0yJQLP
JXpJkBwD2WXqAOk9Dd287izL0v0GEUtimudz38vAjvde7Ll4OgzGNrMjta5g/OHmPEY7czYONxw/
3NEjwngaWntnN7Z97SA83IWalF89e61kNG7TMeTyw4l+hPGuVlhAehsuUvogPGks4RwWJBU2iXnP
1GztwEN5asbEIhzHCa/g10xPNQFINLKIFOOiqq5ao2g2iYp58kY33lkJ2Wb43msrNs/vTDywE4cE
tXFkUO/ZH/t9FwvWjHLIXefQGGo06Z7Tuv1RV/ynyP9NkW/4FvXqP4ui1Uvz8l9vWRM149WLgqb4
/9k7s+W4jS1rv0q/AByYE7jsmqs4FkVJlG4QFCUCiTkxJvD0/wfK8i9RthTua0efOOHTVglVABLY
ufda3/rfRiLf/UFr+PUj37DOS+oNt5+zKPpeavW/CnzLIvfDctmwkq2x1Pf/vw/nCLI9+NS3yn/Z
FnwLxIHrTGgtGwgc9rh+g39T32OJ+bGAM/GE872WDqHJ98FF/2NJWijRtjrzx0uURtC/MAOOEGeA
THl+ZV6QRxzYBeYN0c39PrOLvDDfd/heLLxrjAUpYulYN6sFBGAzLEybmr6cGEpVB28k9CsCA9Z9
WoJpWNejdsud64w0noHnTzxUxxEYA+4wuxiOTY9NlIU/d4S31ldlPqXlZhgkBrAwqMtLL0r1Cfn6
QPSjJC1rcgl3A2BJpLzhPxhtNezHahDUAjrchF5aX6YLbafAO0WLw8vse0KmQaTLpB9BWhUjcwtU
H+GWwlWNoNvnRRdBUvPdnA3eo1nbKMRxWw1X0kzox9vJ4oVoEG/A2nFiM9+Xesj3kJNy8rfCimjH
IlbiOgy7AabjZBJzYBi8I/166vZdkw004BbaSlK42aHGg7ZL54aGgQAeRjy1m0a8CYdouLFRWX4A
MwfdicjXYY9PqtskbYtsPq4nm7yEeJppdVI+p54aHrrGnd7RNQLo0sSq1kcAE2R2RY3HD3Ujs7cf
QMuoy9Gz8n1r+0u/Ixu2flwrhvtWgwSksmq0CmLcmpgDqSOz0Tv60OPe8RDXl7hAwnaPjV11u6Ql
6m81cKtvUGFN5llR4dmA7WmPdch6/MrTGLLTTqxkm6YGqSXFICDxuE21Yb6BAMAfioMisnMD57sP
dvY4jtuxS6t1EdsD4E+7o+nZxHVN5Cm2BYLIpPk4I77cZR6rkSpkCeMs3emxIL7J3oVN4e37Stdv
iFtNLiBw5Q9ARH2S/HBHrmsgkAf6WbG5sRtS2AmexgOE9L1BjKrWNf51bhpLW8MWRwuJY0Ost4lo
whvm8jVZFQ0SUuXGpwSpvFhVTpHBR3OWlN2kJ+IiNapjF6U2A09RbPBqRx9ZDQ0+RuhPn6DkWoS0
IEzN9nHHCC3KZX8cm4LuaI6Bi2izqH0TuMOTCYtwQxD7vIlgthXElU7yiLPBQX2J0CBcx35gXRY+
BkS0A8GHwHfs/UDCJtnbNADZPAw2/UBSD5xNG6l7D2TftcI/+ilHpbnpVTy967GfHqKZuIW1YfCG
XtUGceVDbbQ3U6XLa+WltL26Kk3lCuQmOoeWd75FHt9bnx0cHLqQMiaU8fuOOBG9IkUrv8vc2l7D
EawZhBegqgLuQxGh9vFIwz2DBevXE/C1cFeVLm6SwEORfFGj56Wn3dU3FAvhjrZe/oUqaTqSYlOt
daLYeOkppLXVPaXQHTfORIPUI0D7kOY4WSrXfoQR897LGzLnshhjVziwpaPIw40To5muVVL3/i3d
8Qip1Crz6M02X0el/70Vf/NWpI1CK+if34qgC8svT5186rvv+15fP/at7WX9sXS1AChjVuGV9p0I
Xzh/gLYQ6OxpKtCf/i7xgP4WDV40+z7D2ZfB1l9vRtf8IwxCn1ExfbPljWr9m1cjxrIfX41uAMOD
AQW4FAvGs2m/aqV49sSoDLDeoSrjRY8u8y1T1BDRc/cw+dmngObvqq7mblv2OlyTstGutJ6yU2CR
KWx2wX0wBNkJdGN2pfv8cghcZquGf41gGR2oSZdWpKzrqXdZSWR28nIszI2KMWYnkDB3dWiAmvV7
2B2hfa7h0G54FaGPQnC9tZTQq9jimAYArHWKx3VtmsrcQDV/GPIQvSXhyaqu4Lt46SefxGegtPzx
DG3wmjdlc6yH5sFCxwBwY3BWKdiNbRGJd4xN7qgpPw0ItPhs/ZBX8hkPJ3k8lUCu7ttnC27nyi75
PX6tu63ZqAcf1jY6J9KQRoOfV8a0wXWBaHAwBCPy4BiXoJlQ3ddrCnD2cAX6VmLbwUbole9zKl+i
Yk3FX5oPnAKXtCB+AqeBvVIh23YTNfypweQ7vGTXJhGm3h5k2yFFRoPgOM43vvL5t5l7HoOezF4+
mSKRXMmQ/dtso2GNJ05BnTvd1uus+RxX+Tlk2LrNWw6Zg/y58FzF1x8de9srwmoxNmQbXDxvSdTV
qwiA8SasyuepVNVBOY299qIp24A25eGLC+gpyg2L8xDeA4Lvtk6ZwxelRcJrH8IsivYAIONgr2lj
tfdREGXEdvnE1hv5vKtncz6MAWfPYVe/GT1xDCzj/uUmkWqi8eGqdgML3NxYk3MuhoCukRnej4E1
EMHOfxWmdx4kXypOUQE7RkPCIVi4TRUX+iTCzuZZv9xFHX+WCvNathYPzKq1t2LA3umTqsxp4sai
GAOpjjaK+/kZpJqDyI+vTlzrJ1j+XPuZ/5VGzB4Gyyg3YxfAaIemx8CWs4RuBLy4IJTWVOQQN23z
8HK9C7aoTB25rbqR3wvpNVzh1ebSKxwaGAjyk2nFzyxy7mryDzEpcHcGKIzZfPMpXkHT2zzhfwLM
++QwHiUOLQxWQw2gued0UcPcTzNXflSsEyEIk0WIPZMSz+oIRfuAeJkcLsEVDnpupoDV+HIySjaL
69Hgj9ZZ8akgdG0bmUKdwM17CKu5adG5R6epDK27ok3rNdavdIX+mYQSiI07GLcMjulAbBBRc0rZ
gG/HOEGk3BqaUFUbKquK5Fp1s73NBItyGh2MPLQ28V5wlxH9g6u/zK4Cm4XqmDwIgiHJt7CX8y1G
mWcUrvI8JN71y/KidTgfUHvaW+1Sf/ZUfKuqR52NIrfduIDqTmiEy702nWwLC5NlmGHcfLm2+DYX
LFx5ifNmeYRwC5S1CtfOyLl5uctnQaA1aMRwj9I0204gKHcUhvkGgXmN/YDzvtzhLPGzRMSydyYe
Y+HA+nbncD68XOaupxXQNdxGOrO77UAI+CMyNePgJfxUKGywDHrLOEShw9PLk5/kxD+MVvYcg1qk
xGb1mOSUrJmDER5d0ug0m768FNLU15729sGYfoLOS/imGMvLKLOzbS5YEdB/jUPssU4risbLSSTE
jvvcZLTxykuDzHpcVDy+RFrAlObhYM3lSmp3DwaMOF3gcZeRNQ5rt3WQIHemswER2a4U8oPj6IP3
eIlE1rIwSbDznK3B3GAtYouH28ile+GXYuk4JziYAf2V077ueJiAe2QWT02yjga+wthbrCL4sAcy
OvkvkTtfn012qGk9LIt2kP6wNmLjnr87IeSbW6Lx3LM9LbGAkRGsvA6dd5aO3ExK19RQkutHJ5W2
p1leYkfR171gdux6nJqJFfByrpnDZJus4K9ENxfu3JIC3tUdId6BxyMQhhX2SyO6xUNCOVvRVAki
9awE/++iTyHEL+NPyfPENXK5s5rmCXqFh4mYMrrC7FRUbrXNjOTWGPtrsUAeHKL4TpPUuBEMdNcW
UWhMPoH1MIYttcHAd87nj5mXFxhqqAj8bRhYrbGa5yaly1/pjUXSAFF6pn3vxVm+AT9Up1eIXPsT
VE8uoWNG9LSjGFU6/Wxqx4QQ8dsESTJRi/SpYrFrWoD06ynrlplriAVmJjrdWvtKGac66h+Nrqo+
Ewr55ErcIUiddfYcKMcgkQiM49yuefyPh66k0xcWGdho1I/KWddpw5pP3cHYxLyKNja64Cugr7Ox
yx3gjteZjYuVmpkW2gGcb2c8QFMnJ5qMx/wySkIH5GOTWzSopkzJa28grWIbEwVm3JW07E+J8O+/
K8X+ZmrzWlxIXbOAjPAwCiZ6cDJ+3PKjtLVnt2r6g5DTtMeO9kwIQ8AjKLgHoA6Bn9jbtSt/S+v7
aTS1HNel2UZjeaGxvaqnwsm1gevW/YGM7+Vhxxp0ZPa5HLHGkj30/OtfSYek/l4p+vIrhY8Vm3wZ
2hyvjjaPseGy3+9xL3GDLJUAyfTGNjbIuns50n+bgN9sAtAaMnf+503A/zYZD9DH9vsdwNfP/LkD
CMI/yF71TT8MXTB2LxPuP4ffIfI1+qvYbGH2LT5civM/NWqL15aP2Fh0l1QzHLJ/7QAchxxpJC5s
A75tDl4Nu381/Gbq8eM9BFmM/0AwYl6L8Rfh8Y8rBYK7zd62Z4SSB8GaMCxA62U37Oco0ac8Vt6B
JEbIvdU4Tp+9qsVXlLmKvhL6zLuq6k3847XxmIvcvMqQnYIMjpx7n901T6XaLzdx64rrJEe3NKWD
vIdcne8zeMbHIvatj1UdBVhx8M4y6N12U6s+IU1KD4xZ0MLDAtPNqu3r+cmsM5yKEWUGiaG0msHt
ZaewzMuLSDg0xR1Wmu7Kq8qz2VDkUbEx0iJBst6Ox1IWGDkRqDpoQ2JxKlRPxxpRzk1VB/gQ8iC8
nNqYYkn42j7DMg6vyZwwr6xJmleQSIwBe7Kjdjiu8r1V2fGDFcoQTVV2SxO/v4ps6342JzBkPlj4
UrmhQTpr7TzD7UhWYzGR4GoNJSUxDLfbcLIY4iymNlyOGj8D7ZK9l5v155FG3c5pHDJYJH5Fyqbs
rXJTH8lA7qZ7bBfpIWy7bjO6Y7ExxWSBZbL791Ugo5uuT8ZzV8n5CbT19LBoys5xRnqSM6XNte+k
+owuU65hkskds4H+wtS++lQ4vd6QQyJ29ZAPe2Fl/IxYazYnZX4YytFeqcztPxuhw0jTIxYlrC/s
EpvwgqbumViuMrNCdOZFV0VWF0cjMI55JrJNrCrSWInI2Ss1eM9xSO3WYoq4YFY77n0zjI52kRS3
1ixmWlxGyptgAuezZW7SX9TulL6LJxl+EMovtjRE6xN23fFNTaz4fRi58mo2ffNqbLEmr/rGke+j
zm0v097M37iVW+8L9tjhagSqf/B0jo8uyx3njKJaXsWxO+8At+NbIKMVlJCsLbpZHdJG2TrDpQ+B
9zZsuFfYFLJ3SWc3f+q1rq8j32fmqHvnwod9iVTPlx/6QMgHVScWZO/aOxdYSg86mfS1aQzOhT16
iNz7Kr5hXtfep7MTsmts82Nh9Me6jMaIBpkXsGWu7Q8U3/6VoiI9SgtvW4rBmil61ua70U28m7we
L+xkxPWET/dgUD8CMukeoY+a2Lp0Zm3tOhKPyhm/eEoXx3iqh1VBXsWxIktkBxqMHZYo7XeOmz1R
nuOoN2LX/iCC8r4anPld29bTfsYId64Sn70kzkrj5PFCoYsHG+A6GcBgsYvw1WMbNemtoJIlXoEu
w5OMgmRfDssGlKH720AiChzYn21NLMkXacxFHB2HHnKf+xtiCYo3wmm7T3gEhmbVZdY9BPgjbSz/
VI1qD80XJrgvCgrXPM3OoCHzOy/KDz4Cu5MfzeXRzQrsV3WfrXoelh+oFOVReEW0m6SjNjA22Msy
lburWzIdZ41rz8HusZ6TKWMO5WUPgkr4Ldsm41zbeH64oLBYmiSzN1A86luj0bsx99WFauAyr8Nw
53VpsY/a0bwCRZzvVX4eyKt/YCJdYb5zrHNqxs6hpD5o19gJh+vSHJonp5v4JsTLjKYW+wrj33bI
sYrTgXWCh04QtsLLe84xdQv0OCXWppu5rbK9obuZxurkiXUzYE4jBnrEQhtNWzopLXOEql+26uHw
Np4nN8WnDAQrp0HOYw4QEwrYxrygBY6usYzMrWUZD6mdgVCMY1qiMg+JjvVJsAmb0l+zZX1Prq95
zM3W3NJcVis7zapPuZ8QSVEl4dkrAv/Ytp5GiAn3+iw7I9sIUa5hf7ePfir0PmXec2u2eL6WoAbz
egiYuAdRMWPaDXJ/C2E9fBfy1rimNE3ek10tL4t5+AjN0z/wRpzXU9oO12zJJLfSmF62KRLjDnnk
ZdG7zW2XRuoqJd/hnRHJ/JoBQb2tUAvsrLCKN4zW663XKuc9xDr74Hf8yiYKql2iU/sL2gk8XHDC
Hl1HLS+XfnYfECHLt8AYsMaSY0ySWhrGTFiTjAyQeMTwGSW3loV7bmSLgaxT6Tdmz6kvE2/eTFNX
MwS3gwt0Q14KdKxKbohOHLnR6Mrj5WSjUZt4xKfY6fcYrbolm6Z+m/fRXlLws/WN5ttscNxtPZA6
tJo6E91wb5ToP2O983EzX1t4mE8IJrKPo7JpmSyahgE70JVkiV+0EFoOwoK4Te5oE37IfF9uinI0
H/KIJHaeTGQNdvZmsn3vdkbB81S7wjzVXWDsyG9qb4jszI+ea0Q7srvbcz6NwduYqfvOotP2Jhmk
yeFEZKynyfB3DlOD62ZSn0pMrE/m3PP475tupqGl3XivndHCjRbQS2mNCw//L1P6spEaZlM1ko+y
JKmZkieaNM/LCIF3f5rGNPIoRFZpr/JpXTphd1axyg8V/AdJ3SwySDRtA01IRIF6Dps6Ow55grtE
j8altLFbQye4HYYyO3Re/8FrPGQXVUvDBeNo/ynrkJTK5NGM+meCVD4Elb4r2fqtjXlki+6o4tiU
ArmvkvcIwutTnQhxT8fFfsfWs3zCK6DfA63/EAylb3CrSxIDs1MN793sT7Vq1dDtGashp7mi1Cpj
DFM2GShbaVedu13Io5eaZvCmH3Uf3KpOTaTc+dFzT0MgYHAzcuEIUrYJJhpo0kSVue8nqp59kdTV
lSQvrfpQ8wCl9lpSrDTCd0XXpDgFRobAbEztDUVedmHFU3nqGyk+eJOnPmLoj9PbCFjeBUZIq7nv
kzmJ9vkMuKFc63ac4RzEnZd+DhLdGm89wio88umhlawQFWcV9H7pbErDZA9FR3A3+O17crfxyGka
kSYDQELA3ffasMcDO3OxRozTX/Mn9S6kUbHuwVXIxr3ssXFgoTIqb5UhTXxniME4UIu8LWf6PwkO
wxNvEONNYsj4EmqFhV/Wmq4ZaGFh52qe5o6RTSLHRzcLp1MTLj4IGAJ7q9QT3aWl3HJmu19hBWku
pDyCJiKGYNqgMO9IgCJPklBeokuwPGEEd8/FjFc2VUZ8nIGyHPsoik5NYctTZ8aXbKbztSmsGlaE
322mWKiPPdodTN/etJdqkLu0g51AU5oJm8yr7Ri5Nc0pBFSrLqrbNTmGwaFnvgpw0y72nhmZz25P
qheCz1pqpO8wtD/T/fOD99gf4EE99a5Qmfc2UujGuzWEZokp8r9N3ItM4TebOHw+SwPgn3dxi4j5
6ouWT9X3+7g/P/aXyIGNl+lCVKIt5wNmZuv/50YOShIDG+D8BA94IcQc/tW3jdwickCmvJASBbCj
ZQDzvciBao4rHQrTxoL5b0Y53rJP+64XYMJWW1S/bOE8NpVof1/t41KXCEpCuy4bm6fKIwUwDb3S
FTx/zCQ0StRnI0K96SCdqi2M42IB8Jo1OuvyUFHt7nmwTZ8bJ+55LJrMpTWxLPOFLn3xBRWS2Egw
kM2sDiWyuQycSZaPk/sGrN4cYIUfehzyQF1F2SDBm2LkydtsntMkvDGl0YnzAMAEHHDtk7U6vXHK
BhC5Pw6d+SGHdEGLEwkbEB8G1mYJ65pKh4hKgYRuKLxpzqgpvUwn9HNfdBeJLeYKGYb5Isqwvio0
0he5RktXyNoGKUAAPL1fVR1ElC0aj9ZkWHMhAfX129lUT4nRNjuh6unWs/NSrJdEED7qT8b8sS4Z
wnxlPv/XRfndAsSIx5r45wV4JZ8g9D+WPyy/rx/61kchH574eGBHfy4xFvS3Por5h2sGdF2osRZn
zPeT1OAPi54L3OuQ5emwMv5afq61mAj+mr5yP/6b5We9EomT7Gw5S6MG0yCuWHTpr5afplZXeQvy
gSY47KQhLqQ+NN4gSZgxS7ATVTIV1WWaWeS6S9JbjhoPUU13I6y9RyHpDlibyUydQZMP6s/M8UuX
Tf9FvGQqrMhTRsyjyhar6ndn+m9apcs3++7BYePqw2zOqTUDVPXMqX/85gERNVSKc3OB4EffWQlR
Wd6Y0hAZhMkgZkKw+esDOq97ThwSeqxFbjtTbp8H5quekyFzpzbYEF/4fnhZdcJI1/mAgXKfkrij
6CcoQx2sBuNuOGI31OveHUgaZUw8RDu4s1Z1jIREDz8PgrOCJ2jBMHVw3IAZ0FYh5lXfknxq3ee2
1c174NvVRdoukUhQ9cBGgS7EXq4aVcBj0D2y33hEnXRh+IO+y2e6AEwGyCwpawqkVC3S+zCJhhjI
HPEHTC3xUK5GnpjEcnJF1Lro2r7fRa2BaMuX9j2GQ24C0PTeY+MUAH9cqA/buaut6wZe2DJMgfKz
HWU4xltr+eZmgpZlo5LYvmefhgALxTS/rW1S9QErmr6NEUhSDNsy0FvSYsCTDSOQML+yVXKjX9hl
4YQ3GrMVQs0G2Tl7R2XQmbKxZLUXUE+EfT1nI544X0x+/WA7GNhOXQPaTsQtLC+DLJ/hbm5K+94g
hVq/r2HJGB9B5HLmJBq6mA0KIa3HZmEFrIdmAYAR88vJyAmBjFfsxfl2djogvtEAwoeVsSQd30aD
xRujakqs5bgoFtQXbptHMBLRux4Jwruhb/h4OFpNsVHSPyc0Cea12SpOkiTQkiG823XtQzKWUDzd
2QRV8JW75kmH0yKNHIGb9jrYXBPmwnk9YHm3LuI5pARF5W7fi+XkhJA1uX4giS5CBYFgI/PO4ME/
QNVI4nE+G4GZ6FWqWbxOTKN/o5Rk7NU2E4sQJS/fsvHFKDbVQK4Twbd42TwFatoe9XTvd3Z3bXih
FusijZjyz15fPcZp511NU+y/MwZhXY9Dnd86ThY/2kCLD5WRu8Ga6BrxuOTCva8dkxRGBnYA3mkY
3A68JIM1gaFLCzOPsulkk02qt8QXh+/ow7Td2Zaz4aONEtw2QyM4vaMs/ObG7HDH7DCeGmW+Lnrl
WPNqcoNkdjYpd6T9NBaaayfJaRufGblhxOcfCUat9ajvmP5Z9yn0WbmuYu6R1i55QbMls+4BOHF5
UNIjpqT5sVQD4wx27wUTwZlhcYm0ZFFmdbVg50AitQ8to/Q7jEMsBHwMnGBp17a/zyBQXHj2QgyM
dAvNbUhBq6WRrW9dx1MH9izo88CDcOrR2HMUH9jqvAIVBGpQ65TzgsMLOXbvNdVFSfumuaf0MIx3
BmmG6rKzG6OB1xvyTfIJx+zbGQpv+Fa6ZpHdRQPB1LoAEsjQ0nGO8+DygJingnPZdFgh19pc6Ilh
uMA4apMEkigP4B9gUmX11ArpDw4ObmRiRLlwlYF7duOTLUHx3zCewYayAA1Lt7LvZU/kBK3gIPEf
iCzv7Zs0IotxjYw6q54Em+frhLE/3fV8YV4YGT7gA5u4Jv3YWA3RZSuvj7vPDrmn2Xu2eS1afx1B
jLupipLNxAo0f0RkTB7TdvuKUKT3n55aJbjmHSGF1ylNEf0+IGY2+0LtZ2NHI5QrjmDuDLZ9U/D+
men89PTrjlFpB4W9qirfNI8JqTcN7lVBMcY2zfxIviwmF4wF1yVewAdv6CGezdYbYkb1uAai07+d
qsnYZh2oSPgh7drp4+SIHj7aOFEEoriQAwnrjjXhbReFdzAIDR4vK5eNmXwfJ/Dmdm7t+SXiiXpi
T0rkxBFRnfmu9ZDjISQilHZgC1piSMgmYlJlMurgYGV2/ClvI/FFxxjfSqspb7rcv+zHRk1bxOb6
7Fci/ug5Q7lFAOJuqrJ17ohqLD9ablLAZTJj4OJz4a3MTjS3YTxla1EvM3ubvTMb8jh/a6etWIGS
6HYkK6D/H7ReL4Fa26EY6xvyL9mtu0O/xe6Vn3ms1x/TsE/eDG5+OxIRkO4b1bo7xVh7ydcswdZX
8k3c+vnbsXDpaDVdWV4SS2tt8kzNp9wIsx35nfDr1QgEKReCx97gVPe8dOqH0gN3tknnttzReK3e
07xdTm0hw1Xge32JIKTX17WvGcHLodjEkWifZSOaTd67+ODnNKbXadvXXtwKTEV0MQisnigHNm1j
DxeqLap9kKsJg2/uVEeRaHsXe3Q8o6reY6+CScBvfEgz5NG8pQb/WJKjOiCsEP216tzoTUg4yN5A
RLkDgeSvjdSYg900+f61kXTqggf2dDDLcjqOxuJl6rJxO4FDWIO06teqn9JDUrb+/SCH+bNp5ukF
I7L5oikbvPS/rlBeTY+pT9g24Ell6bq281NJNBWx20H5ck+QZHmHiRcAJrctz7lSEzqwYvbMqkeo
vZhAjJRF+usv8FM1ie3c4f/YGZKhhwTwx5pMVYUTpJheTrqrG4ypEf2IkX3byjUasldMwuYgCDS/
OeqrLSQ/mxQLJpEQbKFEw1768aguRi2R0CA9qRzaj3QlT6a6sylyfv3rXo2tX46DItKnXufssqn+
8ThDUvl9G8bRyc2WEkeYTf2BllH9wdMRz75/fzBUlkS1UaEDC391KlFLtEZMFXoiNCjcVhUoW/TE
+foFX/PrQ/1cSWNZoNPLZsD8m9goFYeiNrTpnxx/YhTEjHPvjWG+hrBQXbSi+l004N8cD38tjQWG
/wyZg1dbfsg0PDdybPbzwr/8+g4ssXjBjIKjOZLFMHF6f/0bf75HcEV4i9YAupmNZPTHa4e8WZmA
KvwTlv/mgLnBOWoLMOn/4Sh4uxmOw2NhZ/LjUfLIJgxdtv4p7hKoPJCw9wLT5v/ht7ChDIjvCzFm
v15lPpIl5RFRfQoJ+9r4YCfXtmZA9uvf8jdXidG+Yzr0ZhaT+6szluHzlLWsvJMdNXIvGS/RLZlG
obdTBLu4qzWI218f8ufHB890FvMiOnD4p1enr5RDNDG4ck9GFfkPFvTs02wuzN8+hzpTBhM8ZR80
ze8SW35e2PC0QiZx/NrQ/umGDG36SHPt2adsiRmNyKtj1IuTFhtccPmvfyI3h4D+xEpjy//qWSXy
seFQhX3STYJ5YIEmzwtzOHe5YchBDTZ6uWt+fdC/+30LKIDcA8+nE/jqoIMpSyfBE3hiKEjgduE6
DMsYerLR+e1CW1oTr/bl2Nsx8buuCEkd/GmlJUETmCzn09y06D9Tq/DGFYLy/K4e5uaa0JeElGG8
Mrd6pK4bqbXa60ENGFVdo3XZXFTeYx7b7WcraQEhkxOcJ7dB5jO1/vVp+btvSusD0g2MDRo0r57n
pfRGMjag0diFw4FkJOsPqTZ4XQ24Fu0VMuDfvaqsn59DYPJYVbwd6ZUHrxNo4px+ScQr5oTagFpX
k+cCElzr7jOwH95YSR0t93sqrWtF/MKHYfDgdTsy1HeqtRH8KaJr1I4qSe67ycqTf73qQ5ABdINY
DFy718J6NMHJzPDTOxVzQNENwOWjFRvOqUUxx5xXmb9r4/x0b/pMoVgNtHK4RQEW/PjIVLJdiv5p
Pg1uBLvPTFEiTqrkNtU1u/FfX/G/Oxh9o6URDtTip3szINrIjBWTGI1Q5DYts/DShE6JtRdHtvzN
wX661PwyYIguE6ylFvNerTrQRFbdRubE0N9jY/mVAc9CZJf4619lv4IC2ovhgkw+3gj8OFr8r25k
yJ1S+7UYeYE3SXtrsoeD+Ru0XfY2gt7dXtTpQCfkhVWfjEmh2ZEIp4H2sLwGK6XvEpnRJzDI+oT8
ac31hxme3wGNL60sul7OzsyX7scImHPej6Q03XaAjHHF//qX/Hx9yFxGumbzXnMWnOSPN4Mkpb4W
Rdue7BnV4wvvvhgTuY/NKdz++lA/LX4f0BonTrg2LT0kID8eqotNGxhX0pwafHXHwMYBvVKVYjpm
g2p3S/3b/uHy9vquYenyWiOAgqUP2NfDQfrqKpVz4VgKlfDJV9r9grxuODUu8P2XhogvSPLZqDn3
3lYwGX7zpLNf3yIQQEhtBDrIkW2HSsj58ee6edSBSJLpCVFAVswbMw2Yhuwn0mccgrh1FHyC35q5
TB5bC/77QhUsnSbGb90tgRT2ErNgkvlYbOZs6deohnCVlcvQFqK+4D5qMLCk+56//1YgfMAgynjG
O4RGnEFLywKnOntpO79rltuLED2qB6bRVn0amqlGb+23+tYbNfj4Nsro+yGF4EXP1BKefhCPNkGm
5jI1Nq2sOI90G4CEd/BgXOnfVoDJ530FrW5FF7ucV/gDbPOStrRZrlvh9SBM8KFcdhnAuzWY7nnc
VJMiZ7acJTYEaa1diGs9nDUrUWG56pUkP2Gxg4zVI7KuklSjr8kLfW3l1md42BlNcSNlvYTgH2iG
Aj9PbgfilUg3MNRcHf2KFuV+QfUmB1Jq2JQANODfzkr8WXwOGcZZJs5LXaNq1lpS5t70TLdcjvDp
4oaN+9Rg8TjGgaHvaj0Xya1TgO+/zGJm9+fWabkgdi1Y3ZVV1NldhU/F2jR9ZymEEDhmM9MOLmPf
r7I7UVvtZ92atMAgfHvzFzB4vXvVKGtpRb1Q/bUp+SA/3XsEVU5TssZRDaXcTt3LgbM50NHo6c3J
rCMIAfssh6cPQueqm+FO7gMkg5gWnYi/sSfDyPo0j055VDrtjTe6ImRtrZYwiE2ISZQWTpI7rX1D
jJDX3VkSANqGMHoar2wXK6jak0DnYBjSPQ5D0yLN67vBWM91WY8b3+YR7s0xd1AJlcBHsT/CPHEH
HALHBEZ9xHvVAixWIeEmU6PuW2IscraQK5tc3OYm7mEzkz/ooVgMpMcNViYBkROGbHg3vNQB9Oy5
++YY7O0h8Sv6ZljmnAnppqkDULwYM5/Dbo5uwXfq268tOC/v+TJOAmrVhRv+KKMEQ2vbt2N9+Lqs
fJtni7msmVE4afAI4IDW2+hN1j1W10Qe6PbSm7c7dxks+h53kQp8NkbgbjmvdlvwGyAnkwwnyUXf
aUkf/utoBhbiI6DRpZBAi0c/rhIuVtx06cQCxZCrGmjoQVvmEtOxvP6E39NkTOhdIZAVzCMQRUqd
7qogM9uLIiTSAK2gwaSBpAlOrBsNrrOD8xPLc/vC3LVwwDS7GjfOXTkT7vGRfAEH4WkuvCy7C6pQ
91fIGK1FW1u6676J5PQF/Qe3bBog4j1PVk0XOJmojR3W3whiG4iclySw9OgWcK+4THMyVnDniPcU
5hlsPa/pqsUVJjHIpkSmws1b8wj30hOZD3TrJ6azFg6IcoZ072I0OxWmqWm10SHvAhpkMx6j8esb
/7856W/mpOB/eX3+85j0W1TU/1TP/wMxuy8+/ZgA9fXzf05Mhf8HngDqM2ZsL9ZTioQ/J6ZC/MG7
mlY7FRUF+4uW4ZtgIfiDTSM1Nds4ai5BytNfgoXgD/obDjUFJR+b/38XALVYX394jeMN5O3NixS4
NlXX8su/DyWerDIjvk+bh0wvtvhnytcbPUXHNAg25UharjRPLQKbMOofLPCUqfM7jtji5/1/7J3X
kuTG2W2fCAp4c1u+qst0V/u5QbQbeJPIhH36s9Ck9A/JIyp0rwiFYoLkdJcBEp/Ze+2/vAQe5mxu
ec/mzJn4w0uoaPJq34/0XdWM+jm0X0ZiUmSXrctiE2WAU3UlgJXWUQkMNTzVoBi3BDaW6958tTE4
TjGuMi066ZO2SCp/o2DV12x4xGxYtx32jDXR4B3sQ73+sJFNAjNdsHNjsP8jxZA4/3G0bdij46Oc
qm1SyIXU1qMT7OxKoV6LMvdIc8kodtIVjh2toZNb6Rluc6t8Gv1s0XBN7AYm/4WF5M20biLmzejm
pztbSWiLOcZQX4MbmuIgUpZcy+yIcOqO5rFdD2W0MDXUdm7waljaWkZAXSWvoEjBrbjW0nZZZAFH
1eOYEIF81Q3Fsmmz66DBpRB9s85kse5U/QOBl75N8vaW6fENPt33KWqXKs2Wwu3zrUu+/aJXaqa8
lx/FYOsAQcmhGfX+o7SjVcQ88EhQgYNjuF7WruSXTTwbrUtUpNH/DpffYC3/4XAxfpu0/vvTZftV
UYf+EfPy29/5pwZD/wd9EYXKb3Ile86N+/1E8Z1/oNen62ToZM38ZP7VP08Uzp1/Sp70f5BDzrSG
YRvTPXQB/4V1hbPnz7fv7JqfRRwuVBfQ0HMX9EuseWBWJXAoPwfOFL32GXtbJbNqjSXsBV7KfYPG
sNRb8eIXxgtkBWPTeuMGi9wB6pC/njRh7i28GXsJrI8tETyQoM3yLWcBpBBNoDvugubnGHbuqoo9
vJa+1I9alNc/GA/pV42M4C27nxbEUz8taz9JNiEYqHUbeVesLv5tPyWrzFfFTdlTiCqChxFhCbGW
mokgt7ebg66apeiKyyhNqCHKVos0H/aUaNOdw750VbFqpnzr2wdqrWwZjUO4jxNGHbZm3PWT5Wyl
ip7BzMKy6LnTeObHJ0XxeZNavCZdL5Nb/PPN2mFTfMt4kujr/KlFNNlaMExGQXZq4XVvZEVhO7e6
ftWgZHxPyiCicbCnhRVMFV5y4W4dZO/rxm68bV+OZNvY+bCmo/1UKZEbdgt3lXQNMue89s1kvrnU
VHdIg6zYEGXXs5liGjepMlqz8lgATi6vhZAb9R0dql1C8pLWrSaGXW2BABu8yrgGtZm/qM6pn50u
3RRBfzcZqrhmDHKJ+fSbdgHaKoML3+anpiZ9aG36nb4UEPZe2qlK7jKLYb8lNbW0wBpDy4i65l5Y
WniPn865sbNx8hZa4bBzBr6NUbFOzk2V9y8k8ALdZ2r8NBRWhhYWtBs2UfKl4i4o1rLHeM5Uyb/z
evh2JH5QIeZm5+yU5devXpKCqUm9Ln8qUTncOCSebHUzN852OeneYjJyRheRXjdHuit/Rbov2T1J
YALxiVsh4JvU5aGRIXTsCTXcQWgTKEbhl/hTkzyDeGOAT8bUDbZrRJgEXsZLf3hmR/k3hBHRfmZC
ZB3ZYfc+HcR6KJLqngWzcbbcuSef1T3MbdIfdR1SygaGl0SctpOxKVIsPUq3htsR5RIphRmPvpa4
gzVRM3x/Pdtvi/QpCsukG1fNHOIndCt/GpNRf29aGjLNstp0GZF5uYuaiv8mpqLnA9SWsE7ocSkL
jIeO0C92W/xIz0TovNJLJiGUwvmT04Ia2Dmy480j/hiv+Mp4jUWFNilzifCTPLWzpTXyPeDd4gca
CpIKXKakXI9dMa4GVdAAcv9tE5cZIrgKPBLhwDZhJlznT7VRJucRBMNnIqZua7RW/UWK3HAbtsRF
f7+yNExrH+ylwY9nJ+rdRVOM+Qwhsru0wti/sweuQZB7xc+8iO1D6ZTtg0ztflm57DOXyfzGlVWM
VxDZ6tEbQGbmwM7NvUPKpVzRw49rPZAdGWp2+uP7SksdxW+bogCGEo2gc5MM7KvYNlWXvp5zx2MC
7pbOJPInO+jN577UkmqtCtu7Q+1u76ssRL01YERpGkW0edSimGI4wKnX2uUB2z/fmhn29YagQPWp
vDjBnVK5F6C94w3ZaOY1ZJhx7YVWrGOuSCT3gRP+CMxGLFDuxwmcmoEf1Pn8Ro8Ilk0exdp9NQnM
gm5a3SPZD0hVI/rh+9sq+qK6T6KRHkpmYamWBsGVy4ryDr+67RwN1t/hAh4C0c5uxI9voXAyUxi4
6if+L/Hh/4B9WpqiSpYync6yjBlwj+AF5UMnQFl1TvWjTLCzkAK8DPyTqdqL3ke3MaD2Ra7iXZE2
P1nB3QTE3SwUIP3S9K6DtDZWF29BvD9FjUQ4QxN6dMlVWtQhqlVc2WY9EvFlltVV8RxrF6ZVoTVP
DPdq1+mjNFLj7KKWWGWGH8FtrKHLe/RkSTGeCTlf9UMKnqg6WKUX3hpKGy7GYKYbv4pGgAq+G28Z
I8yxgJ29HoExLLyafULXAR5QfibildYYn2UEAl6YX4KQqRsRJ/VNOrVyTeg9sc+m89EYakc46h1Q
tnyZda11wboQvmqR+SI1/2NsmSpOpSw2ZGArPGDki2qFRV62JLJ9YbLUp9Jyq/sW0fISMsb0WXTO
Eh0Oeeyo4ze1Gu7LtK0PgZdtrVTFBEJNfMGJa2wGQQZX2o/ZkbSiR3eeu3gAXbNhLPY6s7sdMw+I
In5bU2OSSaYH2CSiCXtDVb0KEFmLoayYK2W6d2i48LfpSCKV04WvulGQ+ELgWGuMuCfra5343ldi
egn4XaH/8FwNe2KWPShDpm9YUixSxTp0KJbwlyjpiUGSgTrY+APFoiN/aDVYHYktuO5ApKHdXE4Y
2IPwXhTyk2zDEMqWP54ZYPb12opAJpPkaWKmK6cGkXBnlkcAr+ecM/+OywozmxsatxZ2K5oA0vCQ
VWkpG/qsXtmSbl0aZv0lGYKswWXsUXxmQBrrNxZvmMp8GaxSo3vRQ0weesXTPmADuYUO8MGc85UA
o60+ivCxN+pxgUKsgybcZ3CgHO3U2JgDxlJfutyGizQpoxciJ0lIkQh7iHs+QoNBKxdk/id24+7q
OYnxmI1iriFYDS+l7Y6HXoUU2Z0Z+sMSndVjSg7nwpZ28YVaJv1SuPQPoMbIlookBOAO3C/P9H6T
Sf5uVFhrzP36GQ1kdYcYdgAHIKisLM1Z9HXjn+uu7n+U+pj/6E3DOrv4HdGSFiOSuWRa5dxFnOQq
ab1lXDrorbLCDxZkn0fHbsAAeJCAO0njkxP8oEC0Gz8Shc4tET2hkNQurtH4S8D/g+BLxFcWNpFG
zEzaHj1ibbliSkgIlUAbROxMz2NwaKtzBfnoYOMKXIfCKYDziPCJuZC6Ip4k/G6SgpB2FZTaWUW+
s6dSyLaGXol1MoB6y/FuEgzXDD9L6CcXo4jUY98k/Q6HkHh2xRzoyFm4QmcYL3uvhzBh11hsPYDJ
BVVY0XXaQa84wGoDJnYVErpdNypdpuEYbogD8XlZuUAfmr97ki5JNmF/yYhcPTVh2cBXIOxQmCSK
tX0WLqkZTkOVsuDTtgRbYtrzp9e0aap6RUwZkNVeNMvJyAyUUFhGC5toChLp7O1UTachibHxIDdE
3RWSmpzL7nbKqPEyZtU8uTr/MvYivxepJHzNyrRXS+Fxxtv31Xu4s4Q7qk1Qu9GmzcM5VAQXeNMk
BAI3E7c4y5tF5+tXnqDVpfSGdlEH7biQMN+erHrYIimMVtJCn0ki9HlITBBCvp9ux9LYsoXDMGkw
fO2q6EsM49ZSPPI6URG3mKR0qvowHBJUpJAWZbgHfXNMInG1Q4cAwtBPUb26w02Y+mS7zdENGGFd
a7oGGaerceO1QFa6dTpz8OptVvRpdGe5qVhxC0s42bxhG/IgpN+IR0IkdCTILLjG72nuCGyQ+nc6
OpQq2TKNisxBmJR2q8GvzRRFXjakCLS7tq1WBSZCc4GVPB4/4szvO3tBcFJl7ngaPg+FfQeRrtsU
ZQBgl9zEezCxEyPvSZ6j1Kk2aefYJ+VML2KykvVUu1fQ2BruY6WuZBmbqxyb4UV4tfMuh5kcbZbT
uyENdeoLZL2J0X010Wiue8fsTn7XWSuP7fkBm1zP6cdKK0Djdew9V1wjSpW1GbbWatS8H6jaw4WA
ffLWq2hcJlpjA4jCFFVoCSu3VNcxUMGnBVY5EJrsxzwq2SMPCp+m7gOCmiVwgAFuEBeSZ5qnn57Z
dwtbFDjPjWyZVzZ5UiZ8K5UEhzGaSCxJjbnoj8ZGvet2rz69zEmPPdo26nhp7yw3cfYgpO71rg10
5vrdpK2yTmX7aQrhakyTPR7tpMG8mxfTcw6z8STj4oMGNCrWqKLbmpkDsCvWLtUqKeMPURQ89TVR
fHqdO59ZoVKbFrXEpjH05pXyxV2Dyh+uRDlPS2qgq0Wy8AUOUQSs18ytg24HGItH0kQRjfdPLubC
G2z+5XHKO78Gb6LyS1YKjxBzFtLvpZDwn8M0GTaFwb6S5+AMD6M1JAuvJwn2k+ETBwfxucYV7Lb/
DFyMnaFVMEDBCEMAWWjZGke+F5TLVu/Lh5Kif008ho8lV1UbycFI7Me0T2Z9ZN3TZAEAyM4JY6BX
pO9waNiSZAuHpBJ4XCn2YZNffhERRUlaIQUmwDVQD8i0GjSgqhLlZFULqmc1jcsh6Un8WOHSBlYp
ZPczlkWx8yyCcBvBGH7Qyq9sQGYux5D0Qkses6Yt6LMa/+qiJ72NYlVfsdTCgO8F1W1qa/haKx9X
rkVySuCHB17YI41fuPKCuNrAbIDj7GrR/yiGvyN6/8PUh4Bxncnrv5/6nKDKzf+r6+SP7pvvv/fP
yQ8+Guxl7HQsBxcNorN/TX4CfDQ2E1x8Of9m5APcEIUaGYqEcXnOf+Vy+8vAlrlzgMjBY8KEPNOb
Z8q/THxagIOxwhXKIowwJLTYPCjS2RZh50A1VmQGNx9D24mP2mjCwy8fy+1vC+Zfgy1c/0+rbhbq
pJHAXpmn1QESoD/99oSHoJPVMtsXKY9TyAfTRjMluyVCvuDjqljfKQHDdYHpBPWFAe1oBjXMJaRd
jY8TuUhigZQeil6VufjkAmNkO5fNUvcmAanmjRp3f501E8+QFH/6TZh4I1FVsjbXFrfzKfCYVvMq
WcqNsT1kWGTL7stLfda9IgEc24DkwrKCzuGKvwFuAMhdMGI9WzWP11tb1AAeEpFD5Qx8bm4JCoyX
6SAl6sv6zQpANDKJA5fWslcbUd0aCze2tbIGMlRHbXNvhFOrHfwh5pEyanxLn11kRe6mDzzNfNK7
MErWRRsN0MiyWHNeYz0YqfuCPlDxTaUsNtgQUUTd3wrTa+OFF/l9RIaDRpJslY1GdO0j3UUokRXC
XiRRocPPlRgFyXXC4rU37Pm/jIw48F4GcrbKLQgDnlFaRuKTO8YNEyEDk/LK6H2c6EvyhAwmC4vC
hXaH6aeM3ouZsNDNrIXqG7sgvxEMBjEwLxMx1NqaYeCwpofxtq07UV73mHt1SA5OKrqz56e6XGYz
6SGfmQ8TLu9VP3MgGkCLPlyIAo7ZCRUS+1DQjt/wiA7J2E1T9Bthi/pWzIwJwLDgJhT09SVpHuFd
547DYzZzKQi0zQCUlcTROG21VEnmfM18+StSlGEhgkGsykALNjH5wcRWwL5IgdgyVYt50HlQ+JOg
pAcCloFmI7/GMz+DCptC1wN/Q/axIPsNzoYEuDEE4wOmTRAcWhDId6cywmuRxR59E6yObKZ26D0j
TIRnLA9whyzxFeWP1cz5EJoRbwmCCD7cbwxIMxNBmEKJt+gbE4LDTT8H4H7jhUoNjbN+RoqMM12E
QPlxyyx0erLM/CHVavOVDhwciQmYJDFd48n1uakwC9mbMJ8jJLOZnDYzTRrgJmEo/bdp5p0EBF2N
C84E9dZMpN5N7GWNmZCSgUrpvpkpMz3F6niqLiDKg2KZ6Sq4WNxTWHnG62C2/pn2HQyL2at9kGb5
HvBygOkMWoucuS0WXcAuswrrpp+pLtg/ZgAgpJd6Zr60XZ2+kK+bvvKNUhPNbBj2F/muLcv6nM3k
mJoBYzj3Kx52eGu6FY7qjsVMm8HmYXQLKioPPBJU8gVpExwr1pCc/LGx7gIYN9QK3BK7fGhCbTGP
mecAO+vS+mxNupl7gxYBBA70YB20Y5ecVJyJhzajviTpuT4wnizX2gBJh7zk9KnpXHWjHGiT66EF
vKR/43eMmcSD8Dfc19PQb9WkR4hbAP03M7vH6aD4sC0cnwcIIqso0Pa0vMVeAf3Bv1OuwpbchT7A
l2SABjJBBI2OPs40vgUZR+0n5RK79pkopDN6XJROTRtvMAFjbgcmOtaH1QSL5J0JDFwi0Seb3B5B
s5Z2f5dWjjhTTY/s6Vqya2a6UTtzjrDhdXd8IOGFMJL2eZp5SN1MRuI+UatqpiX139ykb4RSMdOU
6pmrxNfO3aL1YsNso/60NFdtJ78AxTSEurUe3MGmGIbU5BkztImpIvNcs4MmQWf/E8rIzBuYSU/j
zHwKsNjVQ9ad4rC4rTt6JnMmRJk+9//kBGIzfAOk9JklRXugnwKVBWfy0cy7ceiAthpyxAZJcvE2
AEmVf8OpjJlT1TJ6XU12gFgh7NWwT9CyHOoKaDyKduq51ipPLchqOPocNTMLS4ODezCFbdy7QH9M
CL1auJR0bh8YyEBp9d9YrXYmbMmZtZW5Hr0V4CWeJSh2RWUSywKbK5dQuoSdJA9Gk8pr5CnvjIAJ
m0uLtmpBIyQeJdyF8+B406mbCWA1VBeeaFDB8qSiNeTu8Y7lTA0bvwFiKG2cXVk6/UGLig6KjtGd
O9VYBzM3Z9OKEE+948hbGAshFFj0ElYyxEBCcKW5QVu9+6r0fo4oZkC1KAJicGR99vRerDSmgFiZ
etOTWXQzDpKe0KDz1aq5YQs0qcGYBeSxIOS8e6sL38ixB2LOJCdFQ+gQ2+IphMi/hkRe7X2nmKHg
LjzS0kbEAy9RPPsRSbRr0AzFuxVF/rYUQ3hqjdC/6fxSg30yNfs48HcskMx8MZo838BMqvysbD24
pH4hT5kxQmvyZXUQlaZOoWJan9qZc+5zD59kV7bPPnw2Zo9BB4nR1gamAVbf3tWR9I8TUdhfutXm
MC7ahMd1wGd8k/dKe4hjx30VpIVsB1L37EUltbScD+0aDAkZkgz0/eriZURFJXpYciwxus/8fDRm
uq2/9VQFDYdGmLRyM9Aws9KrLOEg+28ZGuuNnlhvuCiqkxaVzr0fzc2QPljHXgU2x+Bo3qIA0wmM
KaHrOBL3iGWw6iGZZiyTVZAK89QSNA/aCfBiE5eEuEWm9ej5qlsT0JhvhKjmIRj2/XnpjP+eh2Oe
ERumVVZNZ6/LO48R94eKGyaZhqonQCpdcG+QgLChxzI3OqKcB9ITYhvKW23fEuJDGKTZDcFdHpVs
rGIesr1uHX0yCfjaGYychG6clO0OB5DB/hrRlPiK28RUC23sg12ohLfDmAzZOJcwacJR3tZTXt9m
Y022WWyau8FySrDSibbse5Cw29BovGdqAfNhILiUDZtjeT99IF+vReU7GwC7L47IvbWWBneW2Uik
AZWu6gV1ityZHHkMIlQaHxilaXu3NCUuYdttQh7aYvpI6oapqCRR6WACbHMqHm8joVxcmrZkcZM5
t5BHso2R8LBu3cxON2CWvXRlkf6UAqi12zNwB7GSonkq9aa4YCy14aVOur3leQfcxW6zFXbYkWhn
w9uZVe5fPMNDHAYJ4ZUCzZWYtnwKkDHctXUaLqM4C5j8Go2RgQ8kCoYrG3cbiRrxsrGH1MHbU1G+
dhLbnZb1V7dpIClNVr939RFTXkYXuchR23JxBN4nhW+8tu3M3DIYnk74syimBypVJnSm3t93eh49
6uBfH22IoxtwRZMNm1qIS52p4GaCfVSsIyfc615NHxrhpmeSU/EEW/hduE/arplIZLDSQ6qCgGUa
uQUtJWYAnFaYkfyyitSTiDgyJOF+vWCmfAw7ULKDIkyIPZ64w/NtnWy7Gc+BaIxVkCXRUkGFOsRl
P60jCv+XyfVvUtt9iFxyMFuTNUviGLxL+1BknvEjQUm7aEYQMyJ0kUh6BRYNBs175jDMBvrYWgk2
HOvamt6aeHxPPO3OrxnTBTGL6Bx390KKRF9Wquy3uqWBtnGYR9Ai3CS5UQBUguONVH/Tjr69DGTw
vZ8OwdIml85OrJN07Fdj3r0MHX19lAGbzTK/AdiV88GQTUai0oh0xLLqBbK3EsqyIGaUGIs4KseD
n3SXeLRByDX4LmHiEP+mu8wqDTRDQI8HLOEZY6WpGtWisgucO4yEmLVar6NmgghLJhDacIMJfvUu
gxvP4alAoUsuvzdNemvTc8IHDPXurtbC8eCYUj/NmK5VF/WM7/2Gx5yMkz28IfyDUrF6Z1W+HJmn
gaonw67EDL4JsnS8ODpvLvXzdTIR2+AKRq9LBN5y8fet4V/bUtd0LIu8aAAQPv3hH9vSOLRHEI5+
sieOhbZOGzxoQpPPKc1w0L239ZKOlFqq5JFNgu7f//JZ5fCrHJrtoOnCbJwNRpBNZtDGrz3xlJSN
O051QnhW1XxMaVMe6ySPL34WZNe//1V/UuLTANPPoCZDAgLH7a+ycpGkLqQBflVtCtathj9ibB6j
6uvvf89ftWH8IhTl5FiakD3cP2dyZtU42k1GMm9bh+MGJ4y9d1uY0XmZqFvRZAguuyDWE7704q32
GIVzqkTxRQvjubkOY17d90v6nyTxP8yPDAwXXFH/fn60e+vfkj+Mjn7/K7+PjgyHBCgdpaH3l9GR
4er/MGdcMh4uG+fSHPH6u2jIJKQdtr2JuIcMdRdw7r9ERAYKRT1gVYcFwDP4N/9VBAbzp19vH5LK
Zl/eb/cQekfbn2+vX0ZKMAfzKSV3/B7yZc3OYiok7aTB61xCNAiOtR01d+RiNB9g6EyKrUy7spwa
eWbiu17mie8scznQ1xI+2K80FyRroIEhHLr6Veo6P4dxJlel1lXJbdpAgQY56lj7Kh6yTWvD1K+J
lTiaGqwHZvz9KkmzcVuZY3YlYH1C68x5FRta+1VOGg782O7tC90c0I8yZ64RS9W/BVE9vnkMdxJ2
cnxsyzjqGO80PFE3KCjEwWG09E4kUPqmon681Ri0rEwWiK9jM0GBAmXnIaqY1FfXRAY1aE7HberG
XRS7d2ywk2RR5dJ8nFVD/+kA+7bN/d8J9v0VcIuT5or2A+q5P9tyfvkKism2Uw1z9f3UWMHesUjS
rs0Bq09QDXCzcWkqJI1mEdxSoJv0FCZvrXZxVy1pp1AfxOm4xtpc7QPUyKcpdOKzSff+iUVDey6F
I6/xiLDFSdL0hCCDJyhjxPwJSYa/ZWRYb1ppVRffbx4VoUc7p+6PQO7MBzM2t6D1P1NBZ/rLTfL/
mSbOWci/HNu8aVuHDz4r5TBA23/xaNa+60ehXpegaovw1Zi//Yge8AV73XCr4Ynet6nVMGrsSRyI
2T4uCk1NG8k2gqSVQX+vIQkxVsPqcYlKOzv0leXchyN/EpZpfpl1Bf4EMN8lbl2SGahRbh0/fELM
Y26DBKlNhl1g6YLf2CXobbexRipw1lnuiqGkgo9VcE1bSu9u9Mn6LN322DemsVNt6OxGv5GK3C1r
lQxjth4csiR0VCobJ3nN6yA92HbVfyQxBX+urP6jZt6/90Yc642axx0xC826I/4vgTPCTZmdAQJy
M8ksYc7yqRdJ2ixcGD34GMhsufFZ6eAr9Id2lSDppyxJkVRNhICYPHdJKyiH61DyLcGCSNJTEVvi
OPq5+TyC8PkCW1BAU+rRepCSFojdMHkEucZE+uI5SW5ypfRTODN2/NLoTg6bLoXkY0aNiHhKd2ND
iMcSUKB51RI1XKQy+EDNWTQ1EencO/O9qWUTaSW9fLZj+uogyqIjZWKwnMcd57+/dv50ZmG3A9fk
znY4AxidyUT8jzeMGUGdjTpPu8bgQu9U0JbM8yQqLIDzq8YjTMcO5munqaaP3vSnpUQLPC7tfow/
07qaORBmeCCtWDx7wgYZG+c61oiaePg52KN1i0cQ2eQudI2Tswyyym3Od3+syJZFEw3jAqYM/uWi
Mq+Dzn554Y281bEFf2TP0RccVyP9BBtTDtQqQ+NRK2PtKM1cJygy+ZlDN5zJEpnuvi/bOiWbg1nV
iImGPAujrsKftB/6i68V8jlIDflcapMgyyVhrAzpAmcCm/rkvdSzragaDZfMAF1jYbWtu7XhxXnr
zI/9i68LpFZ///F/Wyn/77yaP362HT6udLxls5J1vrV/Oa96QXBDNDXh1Wxq0osVBn3sRUK7T6eA
d2CkJioNIbWHdEwYGjlDHdSnoSljJvF6wuPF4h5EVJSL8OBnXf2WdW4zLgKaoQidQBO+Invizcya
wb2AGbP5798AUnBelkvVSArVn66fcspkY+DIueYuyU5DagxnUUfRRrghSZyy5JwJBSsDx3Q5YkDd
amtYlTX8VN25YXAc/uTeI8HHHDF1DZ4BLnuA3W3WbbgRuR8+5J7AcxaXEYqGv3/t38/jP334VIbQ
6tHdsVP682tHgZg0k90716p1KLB7KcOfXM2hv2uovZ+MKZlO6SCZoxHRuFXFzO4yYePs/TrpDlVB
ekqPpm2fO31D9JzQSI4ugm3Q24qJmmjLy+TL5Mj6erjtC/griIp7+bPjMcFXlNjvMuzbvT5NfsdK
fBpuW7vPSnYqHh0UZjDYJwjmVNuGz2ZspDv8yf5BQtlfh7iYN7m0Ikw+8fAKW2TaNv3cl7K0WE+l
V/qwTszhy4gk5xWxk1q3pK0z1pNVQyausncD/aWMrVIwSq3rfY5J67XEgbqnJgCXNN96IUbBTwbF
MemHGf8QuFkIIKIxr6zfkVoWEOaWyI7iT72W0yYlbeuVK6/7Asg9nyDzR5PSv7SA0k42zgaWa4QW
osNq9HmwlT2ANZ0Y75FC9eIV6YdVFXBio3jYZ70pl80sLNNsZAbxgBzGQdB3Tg32/f/hQqBI/MMT
lNuQTSA1w8xv+C4H/1Q2cFaTA5R1gv2GoUDPYpYnlmk+m/N+QFITinjpgS9PFlBvow2lWP3mmmpC
RsyZtI4KuY81wp5Zj+QHkSDxWoyFnmTLTksTpgdRuVEC5dOCO0l/Z7ieP3L8q3cTschXSxuvrUhq
K7yVjP0KXDXl2KkrFZm5nj5yHdilBTLMysN8kxsgfRfBVLQ7n837in7N2w928YheEyCUF0u4OpqZ
bAPhancoaUboHa3efrJw5IjMynjVVIRxDcYktzZ37c7LiR5dYLzjm+kT9QycbQfLgskehLhpHVjj
s1HX5cqqWLfxemJinMGybYPI5mJNTWkv6WS9D8uzi1XTddmhMlJ9By5t1JCsTGI7ITuqTuRe28ES
rlv8xHMgeWK2CDN/qnuLkK+kSJ8lElVUsplwI0KD8fMRZsRpsJBxHX9qbIavWtfPBU4zVAfdH3hU
ycJdNQgLCLGOybFCv0vsj2RfES/ySvJByb7hz6FquQ3G2JzCpe9K256HH+VDFCm5D3Wbp85kpNZ7
bGGEW5ISV2c3GsAuyp9gvItUUmnrCS3PewHNhiGNKPzVrJbWlxr+umPk9NkBVFyGfJRw0BvNHpl6
OniFXoxqSnyup3a6S0vsRwvDS4drQ225IwQ0AMonp+mn6Wb+3m8nbY1RKyNBB2EgjONm6tfEIMFq
l25CEneDMoKUea7CRFBlQuhqVop4IoQQdaivEmvKfxLidUV6gXPeoWwNF30GVD3vs+LseThVzcLr
lzwMUMHIYJzuvk/U/3W2/6GzNbH701X++872/PXevMns7Q+yiN/+0u+9beD8w8J6QvVOA6k73+TR
fzGBbZjAgIdcohoDC7roP1tbe+YIAzLwXXSXgD1+ZZLq/40hxsQ/82tP4eh00bpj2NZs7AP7MsOG
fy1McquF1B3G3dEqpqCLT1PWYOOjg7JFOhJ67yX2yNIOPEzMrFvDeZsRg/vg+A1c/0mF93nhhyiC
ePlzGeNemFK7xwGXqg3ImgLdlKi1KY0bbYPhu30h8KkAaOmJdNWZQbsJlJ+cTWAczCQbYsjRbM3t
bQwRe3QsFJaFs8TzKzZ65xe3WaaXt6rv22tQuijpIGJmTw1OncOMuWoXtIDlC7tAGJF6rGHtxgR7
zWO/uDamYj+cTXvpGwORJV506wpnuupG3lxn6NuGCbx7mUI1rLXeUoesRtEFiI/D3TUGGiqbpjoh
uuKhTdLhjdtM7BJZoR+1J0zAQtTyFvpM/CyKrB3R6qb1CnUwKSWxZ9x7joivzuCm606fhYOaXg7H
ho7x6Av5yKgSYy0FjNfgoocKoBPTjnCrzZa6Mbxnw9CQVdNlEi5ElxxFUqaYSGpH/uCR28cLwXf4
mGdpcUY/GBO0Hk+HpmBUtohHC9wkAvzZc/wdTqglt2YgqTLy6NJnabrhpMpWU+wQzwwdaKf3VX8c
8PodyS5LzrFRYBVU4A/vR6yNmwxP/FKxb7n4zSB3I1O9kyf0/mjLctwxmbPekJJU+HgMde/6Zs7p
ziAfEXqt8B7GJqmVtd2e8CvrG2F42gpUWXmnYSG5V6OtXsEE5T9HJrgPJqnSKzcbSvLqHe1sJR74
OF298FnRmqDnCW6hMBUvVoMej+F7uZp12IgwMkAZOhWoZjXDp6Deu7ABghkwqGEZWN0cG8CFM6s3
g+DDstIWR1VjYJ7UJpIpl0NOloPtlvFdKWdbgBsIBXmpmBb/j70zWY4bSbvsq7T1HjI4Jgfa7N8g
EHMEZ4oSNzCKkgA45nl4+j5gpfpXVld1de5zo1woySBDCPdvuPfcXC+HnQunBSG+9TYYg3v+YHZB
naxurIaot74gwoQkMaiXLWkMk9A8ojs0T10qZhaHLKrcgz442Q9VROqOBpiskjRabhEyVpWv7FB7
d0vTzUlta4Xn16OTkYIKRuFcQNPm/IrB46dMjKFXKmSrmf0lEbn+0kxqujheqm9jq+2viawIoSyr
erhvaDy+1lmFW4yYwulc2Un0RNNm37qIZRq3ivbDIIu7BC7hAxtrghhts2MXNSzYDIQopG+XNe70
GDRo4LSd5KbGSjJit3DCo6kUmTyeaI42ORyZ79aCxUM41ah5ucnyzxwj1d1coH8ouFq3Q58TckDs
6lXGgnUEUohqI+sEgV8817d5lEe3TWwZqBAd85VpFbsVPtvTSxvGktWO28+PjpOatD1FxnWtRHyw
nTA/9cuAWiUn9jCkHKvtYVegJYGWCXxqo9kFV6PG8uuzFAWbVumUYbWx6jrkJElYDy55+T0TNHI+
vex0NReJCB0VTZICPh20z9HQwu9XAMiQeGvRBBhIEM4Nn6I2dhM5DogY3Wq6NzJdvODEKpDrVnR7
9S5zSuwiV8yN7sTwzYxy5tK7ZqiinPTqcWaqw0K9b/XHsJ1J132OZF51Dx2VDiG7KwusOC2V0WoL
unaVT9gGBiMdHxs1Re67FaVhXGxiRnaj/ZzjrK/l1q0o7HZa33fq+yyrSqTIikTTcHFxuf1dB/yH
OkBY7nqR/vs64Fh8T96KP5UBf3zNL3Wk9UnSgVAqM5NmBcRd/8sW635C/eyxtQb8BqTvN40k/HFJ
WICOY5YrG1AUl/Uvm6z8JPmL9cuQi5EL8pc0k/DC/lwWwKBia8N382z4XC51z5/Lgt5gW7ZA8jiG
5sKjXmfZm62YIPl9omNyB1RlDMS3z8yJeor1TRox63HiJr8uTmhNG46NlKjYZPgue5Fzq07Fq6er
mSgiL41Q//ZaHkwkbSBsX4rX3GbYh2fXuMUo4eBoRaPEDYFVgSBPjoRt62UO5jz3UQKQfmgQbN7q
w1teNgy32zj93OGz+Qoke0WUDBldcqpX01tLxPvkJ9BOF7wHEX7TySvMiRElSkxyBer0W6xxlPhm
k6/sK6MJUYHPaNg4vrAFZV5/Xf2zLEbx31iB3QCq3GalK80Nc2d0jspV5r726BbX2Kv4YuLhdLcm
eWHYRAu0fhvuvvK9YlHwtWTydtO3s77pzaw9R147vrv5UHxljMA6dnCj+ZyMaX0/VwrQM3oBTPlG
6TNX23FqEtDbMyWaEne8WeypvLPNucQX6041LU8+yn02JemNa+bTvZWhCKtmgkhauKtyJG0BfNQG
wQgzUgsVnZHIO9x0rOKVmb9PbSaIwsvdO8hNFdk/qntEGtYCl2jbLTNA8xAuwHd8RpbFye4Asyjy
hM9saZPwuLSiPg2QZRCrRza9DiFD8uLqucHyUpuzz2Ze9Y+9lTak9YgRxFo6iC+JTMMvnVZNx2q0
622BOvEyLpR0jGPhfuOW2oBGWi5QZvqXbJVQbGwvby5j2NTn2HUHMn28RZEOu0ZKtUD8WFUX2ZbI
3kIFxejVBZeXHK6ZNjUrmoBVcf3hHmgnDFREtWJ2M9TYvhKYxmZ9RBNQgZE3o7vC9QpxYMKUPMRV
ar4YgPlR1dm8GuN55Kx4OHZ9HVtnYahBx4FbxgfN7FC5zNhqjG6oD+MshoeIHTTKETV91YqoOZl6
7v0Ym1E2O0cHGAtsF/7RFkmj90DtuYwMXaOSwK3IdO5iKwGpNLjYw30PAu67VZWmtwZ7M4fQlzzw
2Eps6pz2ln/H9HkUbXwnJ9VeWzHHJ8lMxdsKYtFIpCkslkxk/7DXVuWTa9b6bQTEBbVMzd+LMrKu
NVKOchuXeXWjClkmLYJbPuVfpkKoNSYsAofB2zMZro69j4Qn/lMWIurAunjDrJyHFtyMnl2Kf7Be
uK46FI8jC/ZwWPTwYR4Hcz7FdqwOFDV3wlVpQKzUskEzCiOeuffjxBRp2LaEwn8NQ2/2RRYOWSB7
y0M7WxnlpqAOfOx7G5vGnIhu04GhxheW6DcWOYeXzsYmSd9i+23ZYnAk7ggUCGwOBGE8inxeHsJ2
wt+b4Jt8nsLRzC9O3+nqTiY4HL3AqpZef7SWlpFhRolQ2DeGqLXD2DefrYyoRAoIdM4TctKj2Qyn
AYnXtayqZp93qwBpypY9KpL5vi5dg2VMVvvIeKKjO7fZ/diYzUM2qmljpQrbv+llW7LAgTg5np+H
beJTgd4Qh+73ebfOzJPLoE5MavhOplbvexnWWy9B9BrGNnkP2kkpw++JKvTZj5GV7az5J3VrfY4t
0zqGbVNuBG/LjqSZ9jbRra9eX0UBUhqYtuOgXdUiwkO0ntZzr78UlMgUnbi0UjJd2uHcLbyHYaef
FQqneSOoLXd6Gz9PJnbPTJWfXTnLY+5W75jmsi3urAedkT52nexzZDa3zqjUXVcXX3BcTb4xn8nV
1XdU0I9Dgq42n2SHvmrOfX1Mh8AosoFQvonymLow3cxOgWZwaGvM77FzhajfnhqzPZPmFu1mzx32
hjlYgWiRFfqWIXXMIGl8Qi5rJfx61fI1ntr26k2jtXOQnaMbt8iO6LuLHjWGr2t98aCT77enMtTW
8T9P01wuN3MTqpDnh5UTYKrqvp5n7wGKeRoHUASz+1SbxlvHa77LEs4mUh5xXnKv3sIhd/MNRbdY
j1kM0b7L4/fEUi4KcEeUQT3ZxnZJWjjaTjTfIP9Djz+I5nlJ4Z5ottViYEzubeKT+UikqKGGob3J
mxR8Sk7w4ZCF4b1thKBfehYaNhJmXDbD2Qv1MUgNM37LpvAtbvX6HijZeGdM3nROmtZ8cJB2P/Yj
mpvORMBNPCJWJB4dpekvdhvXvq3xR6ymcMNwEqtrKt/HaWgfXGZxG9Tt8441r7eDEpP9dKhsb5hX
tf3Cdq8jMcdv+ta64YzRLqpLJD13nNcPKJ+yoIYKdzZlaaK4Mqq9N7Xxu5VlfLa8sm03Mu0feAgz
0r/07I7eBzE+2UHbxFnaQAj9TuIzDTpDsZdaTPMuc00v0Pq5urVH8WoPjbOtyVN9zD0MdHYnjZeu
tFBfAqwTPBlxioF70J2NsGRBwCNMfx85zF5UTXLWBvjOdjvOGKKT6eh0XJFTujhHjdBp8Q+9zd91
8n+ok0FvrmTXf18n37AWjv9H8JaW3Z+K5T++8NfMjGhjJCXMqZyVBWMIZnC/z8ws4rp12MEf9fJ/
D81I2GKWRsYVUicdUQg17B/VsmV/glXFHosvc/GpoSL5C1QZS/L6vy/moWKtKi7TkFingI5+qBV+
2+6xua9aZ5LGZWHiFy37pKUqwQxt6Jjo26vWwfGryLLvuM/xg/iIwpavmpEh/DAScWgBqV1Cfvbt
zMGxi2ZiRyXs0GsZFYe4MfuTW48ywLDknMu+0B6hFFabsoi0c5e4wsdh4TxiJpyelet10DdKpfGU
15SOraqJm2EhwfcD+kEyCdUEDsE921M+7nyNH9vRIU3iq2PmzclYb/m4DgHF1LdTWwaS95FtTiUO
dQv0DQkCsQaZcxJWiIA/9QLy9r73tkC2qKp2kw+NojQu5ivOBcJqsOBMg05qlkOwTAYmKlRK7GZ2
YXuGCuTwRMZeg4Xx4s2DwiuSJoTeU2JPzW2TYpiHYIlJw+jMXSZzl/O1giaSO7x+LsghnGvOB8q1
w9z2yYOMMLPkQiwHYhi9zVjOzMWraoDVom6b2QP00qbLloZa+D3rct/SK1gAum1ytq/mThpzzFdZ
y7kur7HwwjUO4cHT83HbhXLvsYsh9iSlMTDwpHjodCwSkAIj1PdaosTGjufP2DTmzdCtvwQK06Dr
zTDI5j6i/tCcLQEe33Is/eY05acKL86Zw4h8ZGPalotERZtVO4AdRYAIEECYLaVf287BCz0IRPjX
3RUxliyh9nk2k5JyFOFLW1aAukga3hlW5CEagk9klLF6kqpi3CncIaAF4FychI0tSpsDiiALOxDK
cdslgLOHwVObjrX1BICXqbLOteYe8cACPLSJxe3J0fTNLNrHZk9+RV3VQcboJVX1U9k6n91puSh4
Mn40ONZOoxzbCn2J97LK3xYgxoooh70qw2YzkowJxITSpTa8HxZK+gBekh3wTDwhiPKdkUfCbaJ7
D0z9ro9SSB4RQQYp8YYDltWN1ZIdKjr7WBtKvM7WIjZp056R/HyjYZi2U+xWxD4TWUeiZr5ZlsJl
6MWzwMAUF25UwZJcrJ5h7jxtyIOowXE0X7S2y4NUTmHgMPDbtOBJ98LlX5CCm+pB5Q3VmnpuDCe6
FjphH6b7je5NP02RpCthof8E2zLHaI7tLWDNljzkQ+rCWXB0X6XY56rEa56Y+LoBzkdEWtK1AjZC
V5A32Y5KGA5RGDu7Je3zwIaYtS0mFkMdAq+7hAS9rc4obos7LCZtnUIz7kzyTaRyjoKWdZNE7nAw
jAhrzWCcW03vA42ovmfU5LyLLpIbA8bkxom8MbDx0fm6veJRbKU/E2yJn0wTDp/cetl1MYGcXr8I
v1nS4jHVzBmJeK+fBBttmybKwRM8amm8hYJHeFKXOwR20uqbMzpyftT+IrXC5H/ULgXI0T2mxRvN
Sr8lgxMzgXaz41AzxevdQQvkwvtZLa1NxZcxyjf1nxOknIAFp31a1wC+crpHHY0s9gPn5BIA5FuN
/eCEqt6Oukm7gq3NX8DWB5Y1ob+pvfe+yx4SZDmh6O8yDBoEpSRiPyfaj9xa5l3WEP/RyQsios5v
ZbEfnRlwh1UUOxlpzSbHZBaA70I+B7jYF1byVpeEl0bu8tiWBsk66w6SqHKNxrsHUKO7WOITSB0N
/g6UO05znQ2563PjzatRQ7uImHED0beERhxtculte9al7KjVfrLqH0Objb5c5vDGbhgl6JkQp9DN
SDOCDkXWL3jeuYMUMnq5e4hN/bbMjFfHIbM8stSxtafP7kiojEycbkNSkXMkKrd4It/5hYS2Magq
+cOJx3EzhGBKxih7MkR/llbX3FSucUrKJqeULLNrhs8Rif9dRrcYhGbsbuiHfzaIj8FMIfy2l77c
WxYD+ZA577Yeu+wyQ9TfWxPh0LYZeodMFbhP4lfce97TbGG9ygqqY0cxvjDmete52QpA4BWLZXmi
4UzuWmCFSnAJQQec/HT0+DyLKNs1CDV8PbcfYTHEgdPVyXmu22PU0KKDKNBIoO0JEEPLFFBsOl+z
dPoyhn1/oCX5XvbMpuIoi3e90Y37qZi0XVQg95b54JHqM9zpkWRngoiMH3y8VnUbbjrbQGIePpRq
IZvVSeDVJKPPgZYdRay99F4FXEqbvpsJqBAz6/ujC1KfsyZpWA2EzoHzNznFWMn2kcYpN7qavekb
Bvloysx9spj2LpKjuTMy0D+TVYl9JNXLOEAsWDT3ae7ac5syyQEO+dPUKnnKiizcaWQP+1YFP8cu
AdAJK9dPbgU7p2Q8gDm+DHeN0+AldWdWFwRvo8R5JoUlxNsJuJhZyIG84wTTBlmDbjl+7sIhl3wU
a4jRULd5+nL3Fki6h6tCMltYP2Slyu3WPNRGidthI1fl17PZj4XJXnCem5Z5td2WnN6pX7PWT1hF
GaH9YFq5dJjCDRitgZGZQyu9DcAAthd+oTIQwwyQKrSjzd8Zmf9/eEYGouL/VV6f34r2rf19GU3v
sn7Jr8La+mRTvErWwKx+MR3+XlgbLKMtg2X0Gl7xIZpCwNzF//U/15zYX2NnB/QrcnuXKbbDbg/B
zV8opJlh/6mQxiqKOJFC3RRQ0qGmO/8EeK1DzggVTc45N8gR3AAHoLB0xAhkZtO3WtXVvkTbwVAp
JRY+vCmLWdhUVrrG4GHpwAA8ZmWta/mpbR2Wf6TGTYDeD27Yc8X15kDArayzBY9tTFchd3kz5NZ4
05GAgxKIkxu7iNVi7ox2XZvlzmWw6vY9jcZ7sCUy3AiD6D8rduQug4gLGrKOArRN86PmLihEFgKn
YXp4otAJRPMMRcakaEBAcp9n9ka1Oj2obKArHLLa7es7RMzpY1OH3lfCFE2a/rbuBYKoQVVnDDLQ
q8vZ+6JRnJW8BMj47YS+LNlXbAOQ2s5FvoWQ5N6mdYGhjzIv0LxyfE0GS90ttMQ7/IxInpu4WYfq
BpdeacYa+9xSg2qz5NlREbj96rR2/cVoTabNoky899Jz37NpvnH1RpEellJR8kd4HXrHvE3sRD94
yHS2nTK9zcRYk//H9Or7XhUxspN51oNuBIzFySU9UO592WBtDJ3ZH4U9HNBl5ne96NvPyHhYHrK/
3y84ce+91phP7ErXgXZiTBpwaS05UBwk33ke7HuVcvhvwSNot3FeuPvJdhC3lZNgKtwVTzGHF6bc
HrfgYsnNMNEPbCy3M64WhdGLRmUPW6c2zNvSilZIbwaLS0p5HBKxIOm15yFIespDYUC6RQ5HYCf3
0s4c0dRjCgY6jEJsedXmvMJ9mml7EuiXo4Xc6J1ptzzGrageF3bxN71Wl5dSi/p8T5k730794hBX
upsGq1vlFb/+y9jQQnWhcftU/SbR8w9q0uBZRXOin4rG4sRocMxoxLqwVt6OIQZzGeGOOr4v9GfU
hqDe9fePY+LvgcV/GFhwgq1pFP9+YHHmYO7f0/nPZ+rHF/3a7IlP4EjFr8jh3xZ73idbcpJ6iFBX
Dc/vkd/eJ7HCpJlXwJY2CAf//YRlfMC5yMYP88v6VX/phP3zAUvSi46C10VeRPQLeth/OmBNx4wb
dwmj0yBC8HzIxeX9KKKFZ7zo9kRfe6dB/6a0kbUMBdLoc3978LmG7tBQPu3NWtR7RtPAnX57G/+F
ucE2/jxEwc3A8IRcGK4ShkaCwQw/+m9DFCzYM72N6xwl/Nby1mPefOsu8JIYVIZ26oseNiQkD2ub
YHDtIpYhJFkwckDFHX53i0Lct4xn6mZbzTKXLwuV1M0cU6lyYLfiax7HndNss6FadgswJ5cUVmTX
q7bEbbXAItHCPUBMWwJLT4suDkQ2WukUlJZMm+d4HqID3hLMFQSgZ/WDG7bZHKAJYpbNVoywuKYX
6/ZQbafGe+J0j6EBeqNr3i3C6Z+9sspQ9dUgKTjBM3qgUdXfcuSjIMlM4E4DKRlqgwECNoWbMkje
DbQM2akDRElvNWD/ZH9mWvfYl2EjReOOQPTPwFs1gAhLc6ojJfZ9b7bvCd7mWy+3p8BR7VlEJQAA
pwXZkUx3woOUJtu+OyPMH06TRiOWyIUTN2MFdVNb5nwpIiREWIqYBPWifNAs76tuqtbXkDuVZJBk
8RfU05X0mT6MWLxL7X5hFDQhSp3b7ZgM0yWSy6PeRxljl54E4sVDRUJSp4h2bqpZ35o2Vz7hjtAT
yNJcuJn1xHnQ3bR6GAjMohBH62UPi8T0YWIVviLLac1nFeEFRlKT3C5LvbXm0NjVXjY+zeyc0JyT
djE5lb3PsrzYVRKkxUY0DqEmpu6sYmmB/zqsthJfsm8ueo3qAvO+tXREj9aRc8+7Xp+xkjc7hZri
FGGlOMH8cE+xwEUchIWefcGU0D6VslQ/61EA7Up7rXqs22S5MQtjupiDLr/TXTg7Czs4oyZ+ezZx
a282EK+alJ2DlWWwdgti+RrORRW/pTz2COObaYO0pvEXTv0HXQ7jDRq64WyPbb/NrMRjsxVn205b
Cp/QNJNfqDNxczCc6HV65ahJ6J0zSIzhbkQpNm+W2nK+2HyTjTZl3KWu129t8pLfjEjFhA3P848V
/3mt4dEGLhKzg1VZ7PI7pZyv3MSYvEJ2MUdjcFQTlKM5x5ulk8W85wZmUSvttnVpunNpsJolANLX
kdEGWZRFi8+eQHuyp5Ztm6VlMFJYwp69yi5t8J46YwBJRpmfk6J1gVhfnGED8e5ZfciQh0mgapGx
ZbNhKx9gt/Wej9boQDIem6dlrNaQ09WMXS11unLq0e6VjDMNN1k/XfGqa4qoN4Y9QiszYyELCFoW
emLvZVo6x7Rrnr14XL7JYZm2ZBFbRw8arY+ZxMuDSmjlDSfh+BUin0tD5gIr9fNoKUSQJk26anaK
cYaZ0MjXIpSYpe0a+ZVfwoEablh2k9MuFrBpOJYlqI6hi/PLXMrO8JlyDscyQhAUQMuoc5iObnZL
A+40IN4i45Y99njvNAPDzaWIyXWfiza7xe1UsbN3Y7Au4A61XUOhMQT0Us6Nw3FwzmMvg8cQZvln
CqEaMJzZlduJzvOKK6O+aFAnW2a5LH6TdQUsKaGyQPSJFejritj52BY36+J4IBr4OhpxfJcYI/CT
dcHsrqvmaGY4lVdjuuV45vAFH5S+qwh5s0/uJ7tq1HbOHQGSmfYFtDbb7GldbBsfO275se+OKprV
HRnK3o9mMevTnIvxa+TGiB/WdblYF+dgWQKiqbXGj9a1uv6xYSfYwDrHHkxvOQ7NI3MtdvGhcOJ7
siKMl3LImf7OU84svWmjO8uyENMNDE6IZ0Qp/1qi9M99CzClvW9WEUC4ygFiguJhHIppuHYIMdCm
iNEmXsF02Rylc4c5GLJTCmS25eWyqBt+cr6zq9dioEzSaV8dEnazTeTpy8XibN6p2VTHJmWaW6+i
Bs6G6ahWocOwSh6GlIeOc54PecqKDxQMWZx+v4KimTGjllCrcEJ8aCjkbKx6ihZpBTtMVBYD4stz
h7/o458Nj0h8zukmCIcASmIMQm7JKH1XJtvA0aXfT+vJ/MySvDoqmoU7z4wFr5q/G6gFeBBtkhIm
rbqokKN/sbNLNLshQhAMkRIOgmNr4F5FrgWuXlTbqrLUzcwIYm/ROPAFy0R0EB90yx9XPYq9KlMM
ozeCPJ5ZSjf8kbi69qpWPUsDIPFs2bVFrmkVo3exveF9WDUwKfueoMnLab/WJd+yVSvDU2oTI/Eh
oWFsiZxmXpU1bTlgjOI6bc6mu6pzbJMR3Ua0i7TWkdpsBWztPXM3N1Cug4lN/mdHdV2xrVedj/Uh
+Zk/5D8RtrwQqPEqC+o+JEJuLEd6aSBNe1YQiIj6VU+UrMoimmL+ueI3zVLDrYaH4GHWncd0Cu29
+pAmmfDtF2a9sXklOwrx0tqD34ZpwQ6+i8vXeVU5daveCQEQ/14gs5FBaaYqXk27zvmeqKSMVS8F
H4hlvFxVVIiCxaXlOONTtKqsog/BFXUX4//M7RBiQbpL3wgD/toyvQ3sWZgIZpRXnRSSEenzqdMs
GkQmqkxoAbVtNaSED2Osd+RAqvneckSC4mLQTTSdAg1UkxkarlbIPR6zfIoi+xrbZYxKi4/YZeVr
2QEbXPa2I0gIOAW5hbxiRXGHamZjrKb6m8tyYGB2rHkndrfjWmDaRkM2CBmis1g69KZjsxxd5ciS
HXDvXLpcXywf+gDzvImMdxp8pYZLLRYbFifnCOukwnIwTHuqeTEUvLv7gUmTte+59LFPlguQHp4B
Ul9K9lKDargJoBAV9SGteT8ZJ4cx8z1pUX+Vmek+TpMgvruWGhlqQKTPbpNy0MaeWe3d0snUFSFq
SjB3KHO0MO70uTG8+gGtjnyt4cbuSwfxzCqD194tEcK1wxJW7Ou2IekETpFuYr1euDJqGffks1Ti
Dt9nnDO3SzySr2T10yt0K9lkeqQfK0Kb9U0BN5nZaQ/RekJYZHZnx52N0vlHkf13W/cf2jpDsBr+
rR8J3rq3P1iYN2/5j//6n9ey6P5Jr/nH1/zR1YGy/PQx46J703WBLPK/V9DC+QTEdW3ddAF6wEAZ
+mtS9rGC5q/QUFLH4o76P32dZX1iaIOak/UzYcJ/cXJGBtKfGzud9TihRGsuERkpjOz+ycexWmap
yef4VlYVU/RMy8nmIlPS3ti1k84HWaZmsevTKGagk5jVNTIyDRRBFH9vQ5fADhkxc9u4elxPx3ip
cyIsWum8Lzz82xxiPrqTvJovZY34/CVZrPpStov+XZnR5NGbpci9WeDLOcg1hjT7RHPKZ9khyji2
tTfQaZhJMxK6AcU3JsCO/amRzdyyTnqtgIdsRB92PsiBi47Ag6K5cqONUMUCA31uXoeeY8SgHTpa
w6TPm1m54gfdZG9zXUfWDiwswnWOOTsmgShOrhkRiEfQV/KgNX1zHMpcVT7guOl+qLW9obiqSsMj
EmEysbFzCZAnVa4/1byol8lmv272ZhX083SJPQEgUC2iESIYUxrngGAjDKM+Nkqb874A1QD6qGlB
2YRkYvj8y/Mu60svKKIS+2Sppb1rq1E557VpeOcdmc9p66mQctZhSds1DB2ts2yiKd0q5IqsmZ2p
2qPOp+Y3JmO8lsrKEivDxTcjjSl2DvQ5pvOjRVtrHuAFx4SJEpuAR16eEe2Qcb9wO+IpmbZjnPYK
F44XNZMxHEWeCm+ABOYp1kY0VCSCfeQcSlkxzYT1gwVFPLQte7Ss9th60L5V6ieC15ZsG90YzRuj
aO0cW0seip2D7IdASqIQ5ZdqzED117k3XEY4QSen6FlhodrlHpqzXh0Tizt422TpvRAlbPwEw14Y
p+MtfsbB15NE8VhOaRmQchDhpGAfxoK03EaIHndLkqT7tIxvRVLBXHZ6i30UC152VFDCNlndRSfX
5axnMc+7vTG4DA+wI4eO3JnZPuaT3uwAb7VvJbyKd6OrhQn2p3VsYMUrctKlHme5pLAqF60HXp7o
Ep8lfwbliA3/wSr611hZNHQLiP07ZpUQREuril6jxtLPkbIIr5lsbc8dVQSSl7siAq72YhHTfVF2
Yh+PqatuuTgkwl537P3U0NMz1Kp69DHDDgFxy8VxwL9ywxoHmdaEluBC5uZyKgBvsfNB+IXv8Y2f
kXwIPSetI4tunBg3ZNBbzkWXsv0CKCR8jZvY25U5iSWVMq1tWiPe7YWsnslzuLELad+vT/Yt6FPU
c7pZbJ1aXBeuWJ8pdrdxzcpmzImJgXeg0n+WAjtFaafRl6hKWKPW1ngphzQ7tJmzCjKdiIpoSPek
sId+iB3qOw1Eu68cpJ2Rhb7CYeZ/cVP5eWHsUphIU6QWOpd0GWz4Q+gsFVT1F7sucTSpdMKFlJjG
19yepwl84FJC7Ml09GzGOqItWvOnJt0YVRvvxi5dVHdk+fvOPsPbNAmwz1UqVnug6h3rsTLHKaYX
GMp3y0WXZysr0kHqNva3Ll+duF7b8j0q7Qip06BsqTS/7ofsOOpOeUIOnm9cpdQ2HEgNNYvIPTB7
XtUlxbAaRkht7OyIpk32XXIWXtw/QZ5bGeZD+oTe+J7HunxwjfnijVT7dsq6VJMxug3EuJLRkZZ4
vmdl7neoMPGdl7nJYQjL4rtMdC/I9NkgJY4URWc7lyzsZ10cQ0c90Pyj0zCHKUh5uh9pXCscO+Ns
ABU0ww0o82dXVyKYJztiR4zL5kaRgs1AXjdfy4y9do6njwpJWCqYdMf+arsj4hRRLQ/l5CUbSzbj
Sxq3VHumKq/sLlMSuuX0rk1kgwyG2f2MCBfCulcv2zKLW3bahvkFxDyaf0G5M0zugvkHTr2gf7oz
mqY6h9qoP0KAW1Iwk01a78qyjVCx1PobSaFNYE19+aAsrew2M2izTax6jd6ti35OS6QfiqGQX01M
2Vqw8Ght2UBmm7ibB/y0UTwGRcnJ7+Kf9aU7OFejXqINn0gCpyJhPEc1nFGXNu9Uek11Vwvq1468
PN5ZL55/JKDlH+0hqtWmRpIRtCRToI0ULTjNqXZQlENdW5p57jeWUf/IcwYxQLQ8nzq3vE6KCR4h
B81lKcrxPpManUnqIa427ATgRRLjl3K09Brrog6EUatXEhWMJ3xT1VVW7vyoI+OGmOnE3oPlTd1h
cGF4llOYwGgMCQsa4kS/xTqUvuTQHF8it2juCur7z1UaJuce24IfwzB+FuAgUDaVZCU0w7wNse75
ENfaOLD4bUE1dobeHTFlDZUfyf7ZsnTGjgkevkADFbnBKlpuaz3WcdjJyNxKUtNOxahZHW6+cT7b
as5T9krC2LqlZfI+duMXa2LTaw+xs6cVh+en6nA5rRE47wbfX9uUIdFiUceKyFG69zIvNn5Ga+Gi
dwldy8hAaJMduFPnImGPP4USsJCvEeDNLjt0mVW4zIgQPDc7oMIouv/eeRRd0s3/qThmzUs1++93
Hte3tn17j/v2R9e1vy8+qFzXr/yjRHa8Tx7jeUEBY5uSHQYl6B8qTWl+snW0mzabB2fdJVO9/iqR
jU8IAODg8WX6aqv6rUQWAL0wIa0L4T8iR//C6oPFy28aTdYLvAL53yaLF15M91Yj9G/rBegGfPAq
rTqwuPsZl5G311x880wpRv+3d+dfrTL+xSsZEJrYZKMJ/b/UoBlqImuZBK9k0JvmevVarRnWtKH9
Px7Z9+l/RT9YUmZg8Irf+fL/6nfiNdiZW5KP0D+DyJi9hUvDDPnQ/W/2zmNLbiPbol8ELUTAT9Nn
li8Wy3CCVTQF7wIIuK9/G0mpm0ZNPvW4J2qzRCLhAnHvPWefAXdPqM2btqex7oLI/senBPRMgvDj
cCbH+v7i9V4uUDvONTrL7C3Lszfmsm8p//nfHGaR0Hrc8Z/uUefGcxvDvjnwiQi2gQ/7nqYW+r8x
+S8uHc9qYMMQwywnFkf9t49DVJuFXcWcUR9iKsJ+iaqzIq5blelvTmr5m76hzywPnu9Khv3cp2W+
+MO18/rCN2hA1wdkWHiJNQlv0fgojOmx7nt/8+sruAzJfjoYM0R3CZ0PUHB+f1oGTgPezYq4a5zR
G68F/pL6TbiqjOTV9Bcils3WVkxh988fRd/F5gxIAMKs++PrhQZJSwJi60MNVvidXuLTncDIHo2U
//brc1wu2E/n6Hgot4nlNHmrvz/HWaea8O2iPgCWVodC19OWOV747tdH+Zt365xZ/NdRloL7m/XC
9wO7N3TOUYLRuWA689gXTOOZuf1Xl+6b8/lhZRqyIq76kiPFuZ427CVfZ5i469+/XmK5Mt9duYAB
Mo06NoruAsD5YcQa6SFkX9Vmh85NyfE22mrVEaW1Hiz7uQEai4mN9p0PqniHIsxZ0+f6TSIGcIkf
f4O/xEvD0WBKTq/E++EJrcLC8Qv2qQQNkoFQmz24vqnuxtvZLibsWiaQ90AJBnuOczAhwGzSHMeS
1UCV7Rs6Kei6PQJsRlwzqiqHT6QSErqEzZvOtbkEtmZvUGytYzSL/qr2qEUUIlMg2WyYcMTzr9BP
JqEA9NAaOQvqU3b3dziX5FPmyeoIEzr80BdgcQYquQNxS9mqmspgP6S8UsiE3WgNFQmHT7YIekkV
tI9dF5dbgmDLbSe98l1npPbJDObhUxPyoRGdy293BUdJ7eoCdnOfYtj242pLiBfj9myJisS2QrkL
VqAIOemsB05ewWi8iSTxc51jEyTZW0vAp9B5AFHZ6oI9vLt615jhuE0boHaGqo11YXJ2c8HaCZm4
W3sdOHoSVglxj8i7RMGr10RtiUXryw67D4R1sguiL1M1Vxcw0KuNj0J+7weFgdLflE9R3DsXY4Q2
PPKr/NEdsoRup1W/NG4hnwhEIlvWG0T9Uhe2nvlNPbGRsVcHHXUUgQSr0bVh2Rg2rK128EHzgfO5
A2/TfQi5NBdx2tQ3rk7fTME91akrn0BuvY3tEL4jcLGiBlt+fdsSXZpLclBVbiLCXSJN4ls6GON9
Oib2kY9Kt0bdmOz7KMep4MDSIYpTl6cksiAa2TpKriOwWDepG5VvjG7EtahSLqLOnXIjjQE8xvnN
y9vIPuFZ9C9jl0uW0XV/IqwghecXT4Rb19GDP0tOKfKS7ENA9gGlPCmaQCTTAhw2Pel1NSs33yel
NOsrAeMg2LgxcR9xWBvBVoqeiMsSvzKDUrNUlwbRBE8+RogHsg+LN2ZWgI+yaNqWHYu3afrNwU5F
8Fjxcj9YdIvTtaNMB/oYyqaMkWfco/QeYY8CC0V+HUhuQReOmbMaZU1KJT4KY22mbvBIycVrt1C6
1ohVKZ8w0+073nu9cvKhjh+70oj6vfbL9JXQUGOHF7a/ol+PID0J+nxPzup4P6igf54p4fZOTdW9
Gwwlk11aW84MksHHk8ccjuaGS97GxzlYegEz75YNnVls8sFp3/deV7/QL3EuvAXyWIwVP1Zpwzq5
NMdRVgxQ0kXGnXDiKPvQRJL41yWpFuqIRPWfvjEPDS4ZAlonfojYiYgkV2NqSQ6OCze+jlAkkKuc
B3sSagfGZHx9MVJSK/qK6J2YQEds5jRN4nqMv5R1QNRA5uJqd2OS22yhn+t2QvGCT1gtAP1yOw9+
eWL48daGS7YdyJJ1uyQwqOhLpxVUsJb4y0Yeuqr/qOGqngoYNVsd1u4FX2PvLl7CfETJzwI601/1
HdUr/pZ6h0aNJJHay558Su8LMyD8ayaiM5pH+jAFXRT44gktRavLeahZFeG+5vVE4k4a3Fjsa3eN
wVufaSQpfV+HK6uFbzorVrdi6EisXT79tc15yyJ9xRAP5nBIHSyDrX9n9Z24RuQuHlKUKCe89RyN
BfWDDvBemDl5FX3J6TvtzGtU+A0i6lIPn1pDgf6LWtac2M78O+FCsbNNSAEOC6VSrB8ueC/CbmB7
UflPm5BBCVJyS/t3Ib2XSzFoVrLzZk8HpIXkZqFxltMBLCTJeO7AoVVVKTg7fremFTh8ip3yCPij
hCPQmjzBptyqJL+xapLNYghj3ISivmmbZWtfyeoiFzUP09DA6UdtAPjc4+okIU6IwkWvc151Qf2/
dBkNZROPLkpGnhHHnMV1RvLcdeqM0a6fGL17A5sZwlY65zqNnF1LV3fdVwBFHWtmRewqwldnut7J
yBWaPXT0eI2xCGENXZNmwMqdm4qIY74GD8A/FkJZWZ6IRiruWs3aY0SsHkPAS5/1Bdec+djOYiS8
ikqCla1Qmh8DgXCnN6AFZJUG193SfHPB2aZxFeyLIDKuOpXcWInVPxs0026mMSY2Ip2fEtMannCk
+hufZCU0icIB3Ab1rYwZQdaGCm/z7MVrVAFeLH6rojBagyV4z/v8qHozOhABZ2zjiKRVQD31jT21
knHahHvItT8aTgWb0uOjlwGLOxpJnD82JSuvKllxTNIzHhITQud65pbWXxdZ127rHfIusaP8Q8+L
f27Nd5u8wCkf9aGgDa32ZRyspIjrAaJigL0ADRSLWUqdSeSETINiLSIzO5JOZAYrv0a7XmaqUJsJ
MwuKptoCygfGtjNXTjg0EFoK+b4tZHEaGqs4Ickw8dH5ujkxjNYbSBUMJTZhM1aeezENcixmPj65
Yv2DpxbeNwhvho2ZpTGW4aQvCF5IA9pvgBfD3j/Zva4IxXI1YOs15YDSpGkQ3/fWTmlMqw8J7Zfa
cQE9JREsP9+r6d9PgWrZ3TjmtmlH1vWJgHJSbDrVdbeYYZnLprYm+xHVfbrt6lgR72Jp0ResPe0H
PzMz8jrH/N2QWmO+qoW7xIhh6wF37E39qSTIaZPU5kfb14eaFiZZFSjWiIeNd9Ll/WLh6O/Q0BhX
wioXQ5YHMsOw5bTnPZUWZgDcgwSXd+RNQN4bm/A1i51s6+Gy3UqzIuPea8Rz0ckRuAXG6RW4OnNT
2lIja4BDcc3rGn2Kck/Q6waDSvrpiC8gN4xjMjokdTF5Yn2zXZZvO2J3QsGG8HCwg9zBvxKrQ6YH
4mx88sX3v97jWz9tRpcNsZCWA1iN+dmPVWA9QvzzCRE4xEVhn3TfFm8VGaVMzrqhNQE62mytoENw
2eJUdNeLnmglsri+IRJc0v8qXvlwlSdfkss0SUqdNqnLArWXJixeJsFlqVJF4jHoIMQtSb06s5CJ
lEr2Fg6TamszQXln2ab9ytBoZkTDP/YIfL27KSRWbhVOY/64TEU+nNfAsgSHvR7mTMa/qap+Aujj
oTVpxQCRgfkCo+6Hggc+IfGirZkfGjYTG1cOqGIijX7LV+yZzuHfk2UQsSpn9lhZoKoLFj/norMK
gC4i+F3d/BOCZvk9NGwEyd5L7+HHuhkAOusBv0cVAprbdAGZnFhxD/BOru/DiU/+r5+Gnwp1HgZ4
OxwJ2cRia/i+4mvt3imioc4PfcOGtAzJqxYlW5OyjM+sx+r46+OJv3v6TIg+8LzR41r+D4Vsqdjs
2dC0WVybgXlDyTcvacueZF4erM5ANJHBxLxx6crfnj/BQ4WWdB/LQexiwfw2zHLn9RynPrbscX79
+36qs1Edw/5xuCy4O+SPgtxucge3TkTCMGFK9g46zwvGkr97B3/qWHAUGhWSBF8wDd6Pr6AmYSV0
8QoeXJudqxuxapQ1ZjYcomzy3Qwe+JSycyc3pn/+9QnKn+th9gdIjHxByBTpET/UopPI7F7lQ3xA
qxKFSPyr4NIAPfKh0OxL22pwppvAcIJHwm4es2Bq3sDw4wWeegc6aEUO6bLYIQZpcu1b26ir2csh
7zqw+Q0u06psPzch8+LjgqqPvnZc/ifm+F2/elmxv7nRP4s5oBJVWiXftaq//qG/NProMgInoGkK
VmABbP3ZpwbO6UGI5qn/Fr5p/sGXAe29ZCOysAI4+L/tT/R58ePyL0D4prHxT8T5dMm/743QnoYg
QJOVzgxbBL59369AShAwreEin2aAcQ2ZyJHbw8xPQzmtatfuX8yo8K4Nx6nuk3paOBwomRu/MMWa
eOh0KxgXvku7bJ62So7ZTUyGFi1Ho0Rs7ak9Ez3rxNZdrKj3MXE7PthN5kqBjSotGzwaI0580edD
BSQlEN6qkvklH+DsFoSHvy/MIN6HDPn3dkZQ2ToqjHDD1Nndz0msjpltuVfgrcLNTBfXQD8xdWpV
DL688EY8SVnhTrBzPHaWC9mOqkwy3yorPJdnp0GymA60+THL5urVy3IfFqkVEv81+sQZ2AM0gd4d
d1k4ujdDOGJCRLeAdiqGk3xcdjwH0KXGp6FSzZu3SK1Q2PlH+k3qSzTKEFDQIsVK4lpT7oLigS0y
nNKMwfdqIvinWFup/JKamOxTBwhPze6R3f4UudeRWUYXbT0bnwhR5G1nJyuvYcuXxylpnntMyPfp
IN19Fvv9+7juundB0I3FKid746MdetGzMsifwbttTyuXDZpG3AsBmRr7SCuDXas0E8LgnIBEDYlh
7LWZxkGvpT08ubgluMhl/hFEaHcI5qTb4UpOPs1MzC4TU90Yc+ScMtXVJxXO80Ud5v26dLx2541+
iy/ZhRW+MicENNzPKHsOkgDSJVdJ87cVRgsSwMovJoG7TVWFy4mOQbpqRagvReIwlHfMeM+2L3+o
Sjt+yroEXf1Q1pZcTSPJ0gX5gWKDRcPELyAtBsRYt7Jjo4B8gm6ascVX5qJ2FX24ixc4eB5NpKEO
LYhqTG/0FRwkrm+wzuBw1iOM/hVqf5SYaQyV0gUeZDeTdxkRTbBx5olKA1vtVU2TjQQUS0xr0tkJ
ia6QjE6YmevokZ6ddKnZI/tjMw4QLYhIdfdezkyYBmBxmOsZhFlP6vemggl+PRdOcBehnlqjmtwS
FdCv8XtsXIUGI0erCi89O5p481BYGka86Vs97W3Y4Rfz3LntLoW6gcEjDZ+Nwo2MU9gw2t0imhHQ
R81Wr2ITYm2PJjzc9lMmXjrSeMt1VDb6Tuiy+aAmU5KogjY/gxLVUwN1030Lb8c/2FY2tCvlEziW
yKldBYVF1CTKUj4+OhTWI5aD+IJRrf1Ruw2mQCwyU7T2FGmidVT6H1LP9K7wk0wmwa1Z8ABFm3z4
CWA7ZUCcQ9giLbDa+QSGvDpRHLxXEOsNc6g3bg2FT2h3+gJ2Y2IWg2KnhEkfliDKdIvKTKXErFCN
qxc0N4r6DOTEkVFxt6jAkBF3jhNcxtgON3Wn7gAYBGiDEt5nmlcNpY6yt35ez9Ry2M/nXrcbnNHJ
xo6xKsxD15yySngnx2zhEFlx6nMdbASYWrOiKSh7ayOozX2PPeJeUhYTZG7i2DGCLrTZWSvzRWYx
LS6bxbSnEzetgxIZD/GFdX6MJqu5zuyQwXNQWd29YsLMhYVP/0SvpZlWzLStgcUs1McwGiHt+8ZQ
f+i9CQaJbRDAR9EZ0c4wp/bGbpXxqXI8WkWtSPvbqZngc2Uz9WtFeB8NJNvud4i2mw+UwMOXBprY
y2SX4soin6/YUm74UOMd8FPrILQa4tKCMNv4si5oHA7hMaY/KcEN1O+iDEQBSV3DBWL6ZF3AUd+Q
9n6yF94fCFQCheM23/QRonHIEtG2EnazH83igSxGvYflQQMEp2y/aslFAFOYTeU66FBANOY4f56p
Z4ttL9xmU1maPnm1+CBzE9HSuLSt9IWdN26JqUoNdfI0G1FeHiYy3zKiN6YMMPAKZI3oumetpza9
CUcSaOWCVhbpEO7APal7t8jNe1eAYGZZHEl7A8tMUtujA4fhvmG/fK9FG0LpStLwcViQzpax0J3J
OxhO8YJ89s/053YBQaNQKm9Nmp+39P+hnCzAaOKP7euAunJdLTjp9EyWFnzt1mMxJddaAp5u/IVB
bS046jSAKqzdzNiJM626XcDVlPYwrHHvuqiRFzI0mgnMJoiwEDgDvrYXBHa6wLDZs/qIRBZEtjVj
9qSBiu+zWyygpL2G4K1qbKGLQTTixD8hdaKtMClnjydf78bFUkr2Iu7SuTHmQyTyaZfaKOhH0elt
04V6m529qXqxqSJ8wWiKTYy+YHrLxlOtnMXSGp7drWxpw/thDo+Vm8orpicR1LzFDDsttthoMcgu
1/NBLabZIJ3VgeXCgwakjJvs7K6VcnDu8mCOP4dYng/JaFCaqGZE9Q97eYJ/7013MlPDPpiC4Ngv
Nl4VVsVtv1h7eZ9w+VLIqJV19v6yscYHPJ8twWd3sF6MwsPZM9wu9mFKQLGNF0tx2uT2jV5sxrMX
jMeWDyNNDDlcl7iRzcWWLM4OZafFrJwstmVzCLNju1iZy7OrOTk7nJG98ZEGgemsLdP0sM6l2W24
2KIxQsBK64T7AtrAv5GLfbqLl0VzOLuq52Ggf00chazelfiuE1lGrNixH9d0cBdntln6Ml4zCQxe
ksW67YigbW7ds6Pb8oLGWM3AiR3cVaIxLyXKSL5jX+3g+EnwhvPh58pXi2Vc4R0fA8sHr7YYyuvA
9YAZlqQ+p/jNZyGr9AI+TFscdGfEzw7N9eRVurzia/RgprNVw6wid2mdNbN7JcQ49t2+iphX6BOP
rFTZiUAT4idfEeK8sO0dn7LMKD+l/Sgfg057D9je6hNQqIem9KZtYTXF0WvQvnqa/pJXjfduPr+w
AL7ZCYLDzn3x9KA/WlXLDgIUC7EGjn7xAiM9MJDOUQHl28EujEtujlz6BrTmsq55s2YH1VlXNxkZ
yo3lo0DWCYU9cY93FqEK01prO8bPpYKI2YqrsQzMcr6LkWomeNUHpzC+Frf/q55+Uz1RVSwC9f+s
9nn8gt+m7L4tnv78M38WT574w/YsWgMWfYEFEEyj6N86H5symnroT68yR/pL5+P8scyeCSDAA834
dSmw/qyibPmHh/mZ6onCR6Ap8v5JFfVD14L4P945CinL4iDIyn5oG/mi13MCdfPg+0RyYfr1V2n0
Ww3CT10LlPacI9ZsC0az9WOlFuqeNZcu+QHkQSlWPV25lT+G1Yey68fbwvWsY445EdvkzJjrm/tx
+3Ve/63qZ7lf34/xOTh6f7pGXDaPi/19mYgiJh8tSKSHyA4Yh8KTGDb9KDgu4aX3KQvHaxQUdUAs
U2Jt2nlKvoxGVzL8Va6FRVTMq0mnyb7r/XxtNUZz0oumuvXT0qAxCymnm1S9baNopqDzwvvCJabw
vzgJOj6BoL9EQf9jXqepaPcU3RwcCESS29Gu5l1hFPYx8YbpfWOZ/ToUmWdtjWLq2feM9csQMOJ2
qgigRZcE4y15x+Nt1TI5MXsGMAEU5l2PdY9tbp/t/J6BVpHobjeVc0fbGxPDb9rHP/XvuA8EMBEn
RAyk557bS99IRFrbYovjDcEhsepho0xSzsdeYa/GHfzrq/VTa3I5km9aSNfwXbEB+v6OO/hBKV45
Ug9v7oCYk5vn+s1JdVZzZzoM9359vB9eIhtpFM81FDLJI05Y3PIEfnNmUrRlWRg5x4sSdceKgh1V
09L69VH+5vrZpkA0RGPFlzS5vz9KwHfWz4mXPyjmKniv0rfaCkjza/2HXx/o3Kr8TviCOQ2sAgvT
si78tCikKH+ZZbv+QbL/PM5eK2GH8cxMEzduKiyIpCJ221VVddk93T3/ss7dbMPMPbyPdTlfFI6D
jxEJYbJyeyAytUjMftULwCBRXocnUFfTPuHZfN9HOKTX2MspSaOUL/TKjjgIVD25Fb5MDq1026fB
nZPDr0/ya7/4u7P0TZM+JlIib9HXOEt76Zu7FjL01/GsxgOzIHo8ETpoLwrbo4HKeldlrUSBX72N
lMEbJ2N0y8ObHvJi4XOJuttltYIKliUDn9ySRGm3NJ+EzJJrJ5jsDx4zGLT57laJQb4TQUEkH8Ho
wGpIgHvAwxBQ3CclQL94fE/qs9yUUTLts2hHPRR9YDnLDi71IA446Rz6hPwkvi7xoahDubUIvj6Q
kzStKycptrG0xZ7kI/9BhU56TA0GoyV0ZBqtUfgphiOxZmQUHeE19zd1LgbKOyyAl8ym8z3tZMJA
e2zvdJQ10HS3ytcdFAT6QxWk+HbxieC7LYvJuHGCevo8TdTVPjSxZRpv7Z3QTlvYczHR1Fntbgxv
tu+c2DIfat0WT1AmszcCapB0ZmYwUVNiPcEKQJNjRUt4fPb8Mtt4hVSHRaJyZJ49Xs5N4N64eeZv
iLspkYsXyXCjsWp/hIzlvJpNuzVou9DMyr4YmeFfAY+HSREl0dbw1KkgWHMNLrTZZjI4jr1RXhNf
gWZgLIcO6z+NDZLA92adXi7Xc4M9CQNT4GMqrOgeiMJ6cWIXJ8sYm8coK4pLO6yn90aeYUonPmS+
FtpAMjL1uKhMvi9rQr2tvYQDdNSzbb2q0G1vIQa05bEziXlsvNZ6yGwSMWueiD5HWtFY1muFuGSX
UaturHqEfVbJUr0vgXOuK/wc3Bps8i1FyWGY9C6OrTsZFnrL2tYfu7yaVkSudhT5sfxsKe65ckWN
Miu/SpDWrA2wBpS1OYPaMIP7X3QowEzzBI2dEK2I4j0NxuhdmUZXYeR+iOl4HGJyOu9D7Ji4qlyi
PbNXWZTlZlAtQv1FDtM5ob+zlBKX3qiHU+lkVOz9TGiNiSdWp+zoYQiHKza5MUuUBhVRlOnaTqvx
wvARd2XtyH7c8MMXo44nfsxIl0tm9jrOrKpaKbMBJsjHyNvwGYLjETH136RDkmx05Mq9alvjwpmr
6pJ5j7lWozO9AqU373TSej5J2dj9Vpjg65u5Ii14haOruZgmYR/jcswPwqJw8ipeF9eAD4oUqJFQ
JLcSBz8aLPbUIKnC9Wim5SfV29FzChjxs+u107PVq+FUANI/Zn0AmTaq7UtlUks1XRYCbDb7oxa8
X8YECARhyRRZwBS9VhzLJIAYshHov7YFLenFuDu+t3tcaZYp4yPKpXpr55W9TieGaIGlkz39hPIy
GbGJEZCD0a/if6alhmyIgAuPe03IuQusam+4frtqWjPbhWk/vSGSGaprc4qYyyMWJN0BZ62qJPB4
STpbEvHlEHMIh8LU9dbsSZXljNXJczu5HRQdZxkzO5w7s32aSWy8kbyo11NiNnqDvsOlNVpX/ReR
AkukmzwfpjRVn2IP0YdbJd5jnHTlJe1U8WCY7C/IhYsplEnBDXu2fFhNTGZWQcqvy0fUPRqwDVgR
N7vHG988p6mVbTJzJqHZYF9oOPW0zzNhHQe7yXZ1FOjHCs4YiZ1O+3k2YvOQpzZrD/3AFTKz+crN
K6IYGQofpsmqr614Dk8efZv9NKDzXSNfJJ6mwqEfqJ4zh2J2s+BqN462JK0Deh8kkUWoUeqwXWX2
zJ+RQd4+RQhE11pZ/JJMB7TQ+o5TIoka6qjl4ZjpstTZWkHs3AgWBsrWFuhYJ+cDIrJ8DSMgPLFX
cdZ1CL2efaRC4MjzKsiTfmMP3D8mvWJdr2RzSjH2EXvj2HIvzKLZh6XB1FhVxv3EAeKNAbVwNaMN
4mczgfgwgCOMkFHE3b3p1fw3AOn3ypQNObWxeDZRELYZ+EyvB9/epovInv2ideGM5r5rWBSE0tZ1
j2J0Vy9u1iKTSCfzNN5VVhhvq1I/YNuW2KO6ZOVkg7NlbHKrwjLoMfqjfVM1ep89l9/LPinbb+JL
eDVNz9OM27MbSz2tcF6ZGwW0JbwMULTWrKxTC86YOXZ8PX5Vjpw/7/8rWH9TsEoMY2wM/3PBehMn
1bfV6p9/4K9Rn/kH5KzFgs2kffFt/7ta9UmZJ9BWLNvPP/0l/6pWBRAvZtIo9tnXL0Xuv6pVy/9j
CcsT1LCSFiV7/39Srf6kAUBowK7PYQGxfCF/cgeEA2LLuHScI7bmOtxADMwIJ2VHCbAR9tHktE8B
+d07MNHzTpCIcvJzKkrEb+N7p/TrFxvG0xPmTd7pkbXnmyv5N6Xmj2Uuv06CUHf4gUgA4FZ8v6Ok
4FIhZYd9THu7enVie7xl0rAsiCM7YQJQpz0r9xI5W5Gt+etjIzrhb/9uP7uY2YFEUuuyobWtH6oe
HN157eqkof0ePhdNaK3pPiXB1aI9cZlOON6lNOkEc5lc72K0g+Q963jyYZzL+bOn2wZEzjxZJzgl
7TZD5rvvcgSfW9VU7p0HKnoiCMFzjuFQdJeithjemzURoYqPVoqYVqxtFEE3sZyQiXkCtzVCXAYD
eLi9jdYzAWFQvowGWaYLOBzhMjAbQDhVm8ZgnPzqwmtt+okVepW4bMtdRce/XxkdgJld1FCw0utH
VmwltvlksInbYo590OOs8rVN9wDIh1uX18oe2QXGbH/48Fn9YTKKcJ0RVbdK5461aIaJg0iQBXMN
XQWykxyn5zL1CwLf8DBfOkMK2VpN3ZM/hEuGoZnz1TJFPPasyr578K1s2g0xCUtjIJM14i/2jChl
mvtAG+md2SaJ2NBEMV/yynQ3VemZauPHY7AdtKWSXW+NDC8SXqX7MfQjFJ1N45L4asfdA9S2GBUz
EURHMHdQtEpZdvf4eWBZg9RAnZ/gV9gV9K3Z7YRdBjPZcWEwbQHpWxflqPBnRREsItbmQPNpnG1u
a2rYB6eXEjWZDTtpcJxnL518GslueZuhrGEO0DDx1A5Zfbbq0A5GJqJ3k6/7TnWDc4uU3NjP0o8+
N7Hsd5mZEEXZ96QPi+DoSq+4n+XUW3QfdXpC0pxuoCB5rzGzo8PMjhn0Sd0dpoSp5K6TBJwDLiG8
bd30oKjXPYj+PdN3gdvVH0+BL8JH5stk+Q4xpN3cc+Iv9mD2N6ISo7NKSq/4Ij07q1BX0axqnARe
UYApPGFPPjsIYzzlphvevXdxZKTWtc4SzWcnDQt3eCdUkYz1iriNiq+4FTbRmjQP+lI+mYufy5SQ
Z5CfKt2j1xs+0+cvaFlljDnjVV3WvXkFkEAlr32S40IJyt4GRNUqNh56po8F+61/dseE+n/C5fo6
GxYf2TDQo+KtQAb9Ca0UOyAVgGlau2RwJFv00KWxrUJ/ugLtREEMCIw4d90bc/JusqppOqDRlASf
hCWx31WpimijdBzVH+xgoBynT01UdzA5pYK3lREzjC6CTwG7MRUPSb1pAIC/thWNNqGmnEd9NKvj
hFL6HqfhshjGnH9GRXqTztq7Rk9MXjz+Co6mlnPDBOK8Y2Iuhm3jtOyOoLK1T13ipkBqkp5fD919
PjTVOB+Saqhf2tCpXoae7EzoST34rXjgRd62jJ6MlTZH/dFMlTav0kQ55nVAupBe17KuXlWbw7iv
jXzenZdyIGBcJ3hREoDqkjWeGV1/PSZyfgRyB7xonQEcxTk/LhU9M28Ea9Oro7Uic8n/Gr2URec8
JlgQYMAhj81D/1xGY05uk0GizSvai4JHR80tIj0oYU0r+MVwHIGHDXjUU6hsiq0++Zw30xk0xm6X
Lg/Dy5HSAxKZfYaSJQufTJ1RZeUZW+ZPEMzQx1I3mmewWWEoIGfDGXgmF/ZZecag2WckGtTrUG/K
hZRm9As0jYuDEAJAHDC1yl/AagjlgazFC2+twsB+HZ8hbP7CYwt90z5GkvYgI/DqYyu699Y4uMc+
CFIHVw1UN30GvBmMnVBNnsFv4gyBo3KFArSQ4YQ28VtbfbhIt0m0jReGnMz06MK71s4nJhMu8EVL
sD2EbUbgGjmLuXDGS5uQowtgffGl9hZYHQBteouNXzu4j6DZoROHayflTEDmQrvLzuC7eWHg2Wcc
njij8VynBZOnz8i86YzPK88oPXHG6rGOR2sncmzmgCz4bWG1T//bOP6/fM3QcNjs/eeN4/U5fGb9
yvc3+T6rkb3O8kf/Gng4f9jsBT26orTWFsnYvwYebCFx+LqY49mmLGMNtih/DjwsQmuwflo0bMk+
5o/xp/6SjVl/8K+Sr4gG3PkKE/oHxmbvJ0tdINgjsyl1XMn8BOXY97s0b8FTMCdMDzRP8GKR1BV7
GzCSFFSyV9hNur42q5VvwqU8oiVDos9XGB0xOUvY6OXgLlCLeSyybUV/vSEauBID5MO+LNgoxFb7
uUjoiZITbR8xjeEWcXJMb7YmYHiSafPCPs1aKMo0KAaU3Szf+WKKmgP/MkCf9QJaDXuYOYdq26dI
pFdDKfxLQZ/vtVS9uC4wm5VLoo3rLm+KX+9lDgdt22bG8kesEP03oWnTrWy64FFbggMPtcna2bX+
eB+NaDSLRIz3KpXWMaTBhQWmHj2Fe67MqlPlqMo/uYHXfm59k7CRsuBlEzHzDgHGLsEbA+sG4wFr
NvUwp1EHtsIzKCN1MIUlHkxbOK+exHhTVYY+WH1svccPNN6WFv6U1jLpbLhFK64j2XD+NY3XRypl
/mrGqzVgkCBtYaEgh/rMFpUrUNqVfEgAP7zwvaaXPFqKf80eRXVRVI7zOvHtp+8S8QMcMfBrh5yj
0ZQCFxGS07fWFnbplRuMnLWdcUyfvdNLnpqcO9J5tOR6MK1r106Ki5JW0LWVoZjy+5BwjyEZr9Iw
6Y9wM5nRJojQV56xXE93DOmmFWNhuBuea/6frzcUWBnTLDQlwaPUyx3uJz3eckvb9hkbAZikoV68
XWMmadyZbZ4ld0YhOYUKPw9z/D7mn36b5/PayTXXBSkVvzEejZzm6QQfBhqMFy1GmgIhwRL8YD4p
lyHLLi9mowJ3Pb/FRA7R6+vL4HHKh3si6hzGO7Frr/MwCeHKtOmd19uojOjGGOtaFPKhtHkAwYsu
Ty1RjLtshDK6m+qIv2kOJf/0Yuzs/BIeIswtWKtcIhNWXtfzNEjVcmcDq2MUxW7EOmJe1zZxGV7X
rBFO8fAR5BRvwp7EFSxCdffZYwcTbc2uFtfx0PASombgBpPSYzIUDyK8qFlal9OpTIMsWWcBvFqg
5g7PG+Dx4LJCCWAfzo5WA2a7BQXF4ncns8YuWKB/vLfM/2PvTJrjVrIs/Vfaeo80zMOiN4FAjIwQ
RVIctIFR5BPm2eFw4Nf3B1ZWtaSnfrLaV5ll5ctMiYwAHI7r957zHfIsNvVUsWLo5w3vSq36yJpI
hmQj13UyBwzMxvUW+ZawjpUzti+EBPLDRKczK3OgeqHZoY8kiYlsbaN9gT4cP34s4UzzuL4Ffkvm
IcZ1pZO8xK7E9WeNXJIJYf6tSngUGNI3ZzslWXy3DpIeLTPgwommtaywLX0WzOjpeLDQIKx2FB4J
DNXZHkUiF2/GkrXvGK4e0Zh3L4uHN6pz2jXvY8TlaCOWwz2OP3jTcp7C9dMx5ip7j4fTBYofUbtn
+zJ1OBZNWcXX0TGBZoPihq5x6DwPus4C03C1gMWSXJ+4t40HaQq+NfYuc4Oy1zpitQxupqYM6NG7
3EKRzfyEpjXQgJaa3/vh6MF2vM07Jjs4bIFiRVT7wVYvW+/gOj2piGUe3DidousN3affYGXk+1qK
ePfdglU4jQIeCrr1PSymzWKxY1UmkKO7eVCA2PIxiLKZkR60RnX34aDiFIlNFDouPwdjjH2kZve3
uWDL0PXYeBC4LrmCla3uWhY6AtK06F4KPe4OgTEke+SB5oNnseaxF6C6ghzbE2DDzMg+KFw9R4u4
yxtVrAZULUDNs+U0ZDzE5HK1p6TxHBVZdVWmwOeZE+c6o7LRJhwklBN3qcxi+3XITLZmI55ZUzE+
jdU4uXBbqXaZZ6CnyUKyQ42HbpwxFjrzBLWqr+BGkgDJejEGQQxlzSqdAskTUcGeumZNwMyWs2C/
zSsccpEkSIgn0WA2AESt58eTBzW8JwX+mSx1WN0I+x9wzgSPfeYY+ZmJT3+AcYUQ7GPN2ya8m1An
LQZHVreu/9FzjeuYyeARIQFGciRC/AqGxZ0ADecUaqfjj2S2NQhwyqm1rsdgxq7bdn7wqFkLN/I/
trR8MDJwwd7EUmKK0I/H3B+YF3ACnICQG5pxa7s8XWVZMNkZJy6vVardxxNXSd9+BLmuDCi5Tp/u
PnbWpkmxd0zUsY8GiM36cUqSuXhyJot9AqAxH9SQNLw5WDuvAfy2KB/xrhvpaIZ+Ur8zfQqOfctR
Y+N3qDc2c5ywAwclZsZpcdjISDjnCfYbv8WnlXJESlFBpfOB7ceibYwBmxJiA5akobncLMG5qgfC
SE0vVjjRhiwoPy854fV6Vnp+WAoteeRVikdGOBW3qNZ5aqit2Wt5JvttyhaD+XiC44zQoHffm7p6
bBKjPwWxGjnZzyB9qEMsSnIbsXawvogGoj8fsjlpz7xj/FsC6PWYZ1dau76z6DoZGLEcTn/nAfDZ
Gpucfsm8zmF6VcdfO9r+mtl0NwMOgLAXXqh7Oc8AoarQbKeDEPNxSMf27OVBX8W36GabELn2E1rc
XdsO3U5zveAWEPYmr7y72LQd/Wl2S2DyZOhVBN4jgq3YVVc3LiAMzHg6LMFWR6hpuuZSh94ACgwG
i52H6MSrg4HIKgWt1Pp0VgprV9SmDDYe7TxOjtPJydOiCEmtn+XGrBkh7WZ3Lr1DwLLk6DuM6J/x
gwf4rOzlk6+EdxrygNccNtNVndcicpmML+g5m4sG4ulTthT+yTNjVq/BLMFNfeB5ft6ukw5Fplbh
jedecej30BJgWNMc9YrzJf8ye9UXgLtdeVN2g/25K2AaaALHPs2oPkBQYUmcjH3wDVsBsKYpMDcL
i4zjs5dt/X7udzNS14Mu6bvNSjAb8nFWh7aNBwEsfX7x+zSfL1wv9z0Xfr1b4FHwHicvLsmmLxzq
2h3Be/3ei6evjApDJ8u9b0mn5rvUmWt4/J25s3Amb0zh9J8HncvqBrUbOapSbxynHzREzfDPhuHi
Z+nyuVqQijTgjGm8afY+DqR30waZHSXd8NCtva1N71IZMYDsmotYYraooqI+mdI2SqgbTmPVGycT
bS+j3GY4FsFo3zTM9slrVXUki865Vy5TPkY/fqQFkCJydiwyVKriliDirUfVqS2F8YmXwBozJutd
4mvusUS8/DkhF9WqrfpgakO/99c3hDVzSleMhQ4OZHjMhLNG30F12xxpHGg+h7N5ZRJ5WOt3RZ/7
N81cii+ckLUbMkkglWmYSqEkU7t+E7IMqEs4n56YWXT7PBPNc075Tnk3YgBhfZvFAxMMEncnS7vq
qMcBYhjetvBtMBoOKtSmqDDAet6rVlTPSuvgYhteWYWy74cd2VR2g+SbZiLxueNej0mtdfD+Y/vM
ki1QaV5ESSqOsnbe2zSxI1MYzE9bvVx3K+M4gzB8jelqdNu4GdQzFXFEdd1TCWZ6vZ3xtkais90H
HLnGlZ2/r6KsMUBJZKZ30AfQnVWK4x1W/cxNQwdwA87Og55p4Ysf2Uj8nmsnHP1OTkVpRIlT9oz6
PSRH+V0WGzBLjbxaoZrLIJN3Nv9kl+YMmhZ8+IAlZd2GSQpjadMkVozkJtXYmPqMlime1EcNSYXP
ay82QdOPRrrtW2TkedpFHjycCwPcDDe1mB5bl87B4uLDCJhI7jANLNGY6vzH3IN4Zpb6lylRPksc
2oCtnbBdUPixkVaIXoPASm6SrrqmUgxPGk3QM9i/i1vUQ8jLK76vRlN/DqaBPujI2UWcCprU2dPg
tqPO8MsNxEmDp7w2Hy0SZMAUjd0U5cbaUE44uMWfYlopVLO0h8hjQDz3EnclmzpZnVM7s33POlGY
DsQ+aw+duVmc0CxtTcf7j08gCRM4rNYLKEbeuuYIUjn0M99KYLXHTnXudGbgu6Kh5NrqTiV8Vo8Z
9JGDCjtCq0u1VU8EKCCsQVAVZl1bzifdWNTdbCLhohYtQ/AalOWM4Ns/DRl+nTEERE25tkNyoY/F
y/nVfuhJve2rvksPrYtIiDcfpeC4Caap9xSbtDXU9yBYffs4N7xFt8pqhuJEg1TejbakFZjKCYc7
wdekiX68pg1BVa1l1HSJvVBNZAne3zKG6IN5gaNnHWAo39LC5/BWeL0aLzN9ivf/qJGzalJ347Ie
SuoZwimNW8zIMl/U7fpaeQWzj6WY0QJCWsdrKch+aID8Zt5j/uJAs7kcqIdgf3OMsV3wWD+3ElJD
67JZeho8dodbYjakEJz8ca28asWnZx3SBTZ9qd3X5sJZTlUpH2vOxuVeBaTP3ScWNo/QWT4IRjb/
yMXi/yu4tUn0cVq1TMium6nPOTQy0EmyQ4OHADSV18okSiRQp2Wu+O2OWXCWhF68KiioT97/+ct+
TK9+nC8FBvmp/MtiyKV7hvfLdEsGSaZZml8earAxWDRmNQ5h6hbMnHvwSXzltkI0qYbutbKL+a4T
dBi6lBN41qj+rqq7P1x+43erUUe46qKitQxenj9ffs3BADDytj/0+Iw4jGvAbQSNpMeBxgwXAYwL
Vw453ju0G+vYrgCxGsdbuV+b4GR6Du16cuI48s+X6tc5IB0mTPcMr01r1e/+agUe07iECJvlh7gJ
WL1V01jqabGXcXgmOn3pdjYZ3Ihda6cs3M1UUKP+8wf4zb2yiYVjfdqrC9MyV8XiD9q2KXWNZmHM
cnBU4KMJqIcEBU1gxObV0IY04UwWt/vMytLkLNp4qaOWCJJrUgvjwddH42o3cGb/sHv85rKgz1/l
0S7tP8ybP3+o2hpjcnbt5ECiGWdZRZEcrUiBgIMLogkB/LnajtXCGUJDX/MHHfDH3vTz+rX59Qyp
4cvpXJxf9JP1TIB6LReuyVzSMciNboZxP2AIzbkh6ezgRrAmH6GWF2tHYz2l1jY5Zmdpdy0dfneW
xbIBIJGkB7E2mtouAX/HoIOjfm1Rj3zcxP+RMPxJwuDBd/9hvf/NsXyXNu9//a/jUL7W7GF/fXS3
j+//53/jelv/4n/2oY1/GaZOuxm1Ap1edOf/1YdGk491ztaRg/9iXibFES4OrWtebzYz2x9k9/w4
Di8fmgj+6/9GB5qqgoX+40pEAO0DoSQO2eZzWb8+CF2fjH0VYFHUPFjB+Zw290FBo4WDR0DNZjrP
UyXlBVsVZefYPpeJox31ibFcM5ZFWC0peq7Brj4HsqrJ7dUf0Z9BlaCkzXeNPfnbBTLUsaf4DO1Z
8whaob/sD961LaEVmcq4zdXUvwZWdXGn8mJpEz0Q9BSCjZyjN6NwnGv+RvbZ91Efs2vFdUTE2BKW
XoOF04lvpPRhyJzpy7kJ9FsXrxHV2vTaqEmhEiLl1Z6LTS+gP61IlcqCzkV5f/UstZ94ddEMrL8H
RX2ZDHkXK3Jk7Gzc0TS5gK6+JWjiTOpsG7Kxc/DOXkHeNYRQLG+OKE6lNN5Azjx387BrSnaOvkqt
p7izD1nvs5/qlBDNgPGs1vyrIaznQpavHgXVTk+mO70vLusVEBX6eKzZ32ku0vKCYr6zVngTB3sO
YAmRt3KSD4k13fm1okYjzvrYl8EbJqpgb6T2gWbDuRjBdC1r31qbBi4MQW+2k53MtcWgCvXgpvPd
1NrPqVWcmDe+9l0OgMK5eqlFCQTUJ7L5QiskqxHzrV1yr2ZLQPNrOZzYxYn07RikeUoIMDFUFBhc
KDMl0A3Rl9jwok6jrIAcN2qyYSPP5ijR1muZVq+jMRP1MXPIEkS7o+4daFzyB7RuuUUxeSvMaY/+
+fwBu9Kkfm49jK7Mub9bJX/MMbJLUaizyc05+A3x73nGN8Q2/LjE8LdK4ZZw5C1tS3gW0b8EJW1T
lHc3vZOfmhkOkg2LjabTQ6U7WzXXU1inveDoApGEKjAqTfXmN8tZmkkW5mmfXYvOe86U/s3vrE/B
lNFSAdwxY3tfHNpUnZIPS+ccmAaQE99bh4Rk3o2mY8ooBL5/FCZnOp1pNE3cT6RK1okBRhCpRSCE
NiuLxqj+WCfGW2ChAq4UBlyRlCfDkw9dPz7YqvxeETYTgjAnsqBSD1ZspIDEII7B0aOD6mqIMIws
Cz+uu1G7V6bKz0gz8x0187XFqrMT69/je9Ifx6M7We4zR/T5wJyA1qGhrq2ptV/zWAtgMKbztl9x
QtYKFioViKu5s51wRlhx6FYaUdc48jhUrr9qmHEcpnMZdUtbYZls552OG/lUpd0Qkk5lvZG09pXU
NPfGIP4Ko61qss7e9tB38i3yc2vrFcv0GnsN6uekNZGv5HZXPxZ1/FgpzR23iz0EUL+QtKg0vuJQ
/cqxW0KTLSPFmBlLcYYvee6jDl20se3BqhJDTtuWSBccI67XXUstva0bWNigrx8bzQD9SDR1JEfn
VdVz/1bXJrZULU+j0u02vjfnm3YJ3F2VQTIzif65NQSiwaRm+S+5+dbAZuUNXWGVl3roKtPYWR7Q
KD5FTBIUyxBgCCEwdMM+2bo37pXJopsL79nTXHyr3XSMZf9dm/oz5Jg/wDn/5jJhIukFKK149D10
Luv//kONleWuPRLY1BzsFcrJKRGeoq+umdNdFjh7fyie/ub+4LeRk7maWnQbRO4v1UtgT2Ptzl59
SHjUkfcXJ7O06OhYbOg/vEx/c6r5tUyD1boqyTx+mW6i3fvlN02ep6w8bpuDif4bYQawKbbjHFB+
aCF5aI78k777598Z/O2NyO/E7EamAc42/v3na5lYNTl0Q4w1Wjhp5AzyoVE82JplH6aV37Z+X2Zh
535gd/vnX239eor4+L4B6Sfr6QZ80i+HOE5X04IYqj6A/7WQB1f+7Yw6bN0uznmTFwcAg28TtLEd
QmZ5yuXAc0sqB8L7+S0l1iDB8TImnC3Qb5D0C8gvx5Jp+tN5ctm+KUfJFyMUvmvyS02iGwO7O1Ul
j7qTcl5T9nX0gRMBhwj2sErAPJKAE9o+28M/f9PfLCFceLrJsR3foPmrAcsss6BqTLs+pOawsxv9
FuYqQykwUX/4Pb+7orZBxLUHnJql9MsVJTTRV/yPrNWAwffA6Gs26CPqJZswiLt8y4kcWhaE11LO
t2Dlqs8E0JOfsCTfO8m+vJYqeUEBYZjqnGjI3oJpfNAC9wruYQ83BEl8C8c2SaDnd8pUz4kDgq1K
zJYTxQzaX++Hu7pQj6rntT+amX0SmV8RVS8YwdXZ9zhz3E1dwCcDmNLslZZ/j5vl0U/G3SIgZqrW
OnAkOND0z0C3LB8D8nPhcU43x+XWm5Gd0Ss0iNLRvvYOnlzP+CNS6jc7DCfb1dKt+56JMuLnp2Lx
CCGzmcgdlonBB+WEYmdzWtOlyWQd/vmmUSj/UpMGnMx4TwE1A/L964mxN+eMBuVc00qVwF6gcTZ/
2jA/nqSf696AcZFp4/7DQUbu0s/fJ0u7QpS6Xh+aQLa7IVNmaMfL27rTZ4s17wVCs8K0D4FmXqc4
SCOvLk+aip+GPP/mY+XemJXs8R7l1kHmvMTTgN2pnSvc3Mn3xZ1IXoiz4lBa7gL2EE4iWZ/DTZm5
kfTbLz543I0LGfBoz9kclkzZNhjEgGeRw7YzezwguO3N/aiYEuhm9t2pWYJdVlykKk6Fk8whQisK
VGOi+jXaENRZFkpd3DW1mUa2tZz/cE9+88RyL+grwTrSSQIwf75gtdkK1cxVfTBKDgoyrbIwE9B9
TRrMFwNF3Qb1XL4tZ/9aIQMN46En8saoPomctUyoXqSRKLSbYkT/gpbAljbq85S31hZ1Cw016V5j
JnzhGDvXlKnr1unZiVq6elv0oY+6Ob0tg77JvOyeVh5VVccX7jUFu0d/nCnENm2ctnurBG/QTneJ
466SU9Yng8V1MiWnTUAS4LaK4cqawDGDFjrkP1+k3zwkvDPW/1tNmOavTaAp6bxSTLI+gJvdUuLQ
h5z4OLY+buI2+cMdgWT19+fE5y3MtoZqZlUr/XxL1sRf2i1jjQtzqGEqDQCg4/wU86YKDO7PgiwO
gAMHJEmQ7YZw2OcsKek/UwCOTewi3gzakKjCLgrcpSKkFd91PfvfMGncaNL/VAZwONKAal/VjYUz
bHir8uVOlfMZqiYvY5ZZYhWv8bRWqVBO8kW/dCMuKdVA+s1EJNFJ7gS39ON4Cc7F2mYOfzCAcOBq
gr/RTnLXxqPYlLh/QGuq249DUFyD0p4ECiCAtQ+Z4CDp4yYBtMFRz1mmh14kTC9swncsiSrQuGWY
frIsqjXDG7e0W+ft+g9axX8Ty3VBtqMEwASzc32MBuVcG296cJP1AOHAWPZdcLhlR7Wkx/lFdTj+
vJY/3WvOc5c7PGLkuN8EjnrrhdhOdPhxXGeXzELcEChKcRo0z2R1obWwEbY3WCXr6qRJNMgr0rtn
HrwRojxxKN5XMW+WLJEsTJ4OdxIXdItf0wFMfWE4V0mYFA6VOVwPRojKQX9gzztjw7+Wwn42e8C4
f1i5v3m8qXWA+ugOLcy/2eJL4k87JqbVYfDmt3qQd8h+r9QXXDwQo9u1/vo4ajciAECOTRsNFs98
neLSngZ8PDl/rassIB01AKUi2PqytzyY2gmjf9Ovo0CN86FcMaIyKypk74iNcXMmb6iuggtTsnS7
JLwXBeidm5q9PFw80so09phczI/SotzSe6sNXZ1MCZWIgjxNKuuEg2GrzqnVcENQzh29nAwnRD2b
3lzZQBxJg7G8yHG8sx2EK2RNKoLIC3yyE/bgdEKVhR+tMjT61s385g5Lu+uZB3mcDg5F5l4lLxEO
meOD5dLNp5oX3n++X/+nw/aHDptF95O1+P/Xej78pV6HH1tr//4b/26tBWtAzSrHNICswI5YYaP/
ZloYuvsvFwGnp/u84v2PgJr/J/G06cSZHu1fzjAcLf5L4mk6/6IvjF0faahPwUOv7r/RYMMTv74Y
f6g02Jod2u6Bh/MZSRS/6+ddWheaht0N0t2EreFJajYRreX85iuzvC5MbaJUI35MUePceZN/YRCA
Zl/m3X3baPeM4IbTCNgcWKC3XOxm1I5zbLkxSd55eguBTHsdvTWS1W10UPM+ud8bLEHJcFszB7Y+
23ZWmOTc16XhHQlC9M0rnRG9+TIwkx+BK8Dss/ZtIdr24rc9kosQK+ZCbhvUTlGB1YqLnNBz8rs8
uWkREXVfSh/RCO82dEbGKQ2Ua9LUiAMRealuD7u0tM32JLBAl4gW6gI1Fyz7GeFXxtvDOHnNbD7a
czJ0vJ04VgOFANbr79mfCPobs8bBtQtJ2csf4lnTRsmOXshumzJJec3r2H9PCMFAJ2sODHiiPm10
SVOMma1+z2aZt1vBRxj2BS+hMxLflWOHX/0c58Yi8Q5iMthJ7CQyWhoOW1vwBQcs9+2LqjMB+6+2
xAHwvB9NGBZfYArYG2aiKSjz7D7BZ8HNGvNLZ9bNITenx7zJrH0uJuDNcLwPcLuYD3ZVkj5lKkO7
Nsvs6Pnq0tj9OZ3G8QnOVU2y73BrVSplXCgDEq8T902oeIKjP72gFqCRgumhUIRhqOJRSQGhLTBy
IhLtb0lG+qIVF+P94o+4chet2o9cUqrzZp0tTvvBS72db9Z7MwiA12WPbml+R0stzguu8g141uuS
dl5YjeKlqYYTWbz1ATxgu2VuSgBzZW6GGfZ925K5QbziLfjwhrjD4nFV7m7HXmuiopJ/kbHgXip3
iW+noHE3ONs02H1ruWXF22Iei70tbeRKeJHN3HK3Uso1m5o2qT0hzgfg1l98gfHXo9Nw9Jos29Vq
cTajlhBYzzjkWzaacl9JJ/sGgE2dFPltUds52l3SzvYGw/hfmGaaT44m7h2RAfGv5nKPogcQYdZm
B2IBkCVnurvBuMJQBYzaTviOfWRfSHc90+wd0DE7dFIt2Et3+ouQxOooUjq8MXvHhoojq8mPy741
Fmoj6YCdYtySbLDqDltmaRWkFoGEgdxzIFuyjBhpIZY11YPh1NidS3J0yvi4LDWi6oFSxBHak0MS
58YqVH5KO5rcGr3Q79bo9F/HxQuBVaP0mexiM8jOtUE96MVNJYvx7LqCJ37s/W6LoEijTety8pdI
2Qmy9HwdG04uFxJW6aEdwEyNd4AbJ+++tIv21tWxz9OiorfZ0kTa8bb0oxUJOoQG4Z4Pg1sJAPHG
kuwJPDSpupK+CmkA89tYWEybKPLexrKzQj2W8pZukxFKaPfg/GWJX0mp+b0jnQJJkGfPJ5wqyGME
xLxgL1haKtRmV1dhx6ddfXaT+G6gsCWJY4rbnavGMf0+5wP6X3IMO5xfetdOV6re4WVwWC2w6Wxc
3NDT9XNaBxWde78N004z97pJG64rePHPOazItGGXwMgbNnqiRY5FPIYFNXKDWMWK4mAp96Ao0F36
y7NibPlIYp26lrn2yiP1ZC6ZDhaR1NKqEydAcPY117GsE7Gdn2ste48Hv99mZps9Vn1eNhu8jNmF
Uk2C7cBzteXEQylaxV+60ix88jys4KbFUX8yAkHD0JI3cszaOwYy2n1hD96rWTnZlsSLLlyqoM9p
96c8xpMyCcVFZbmby1m/uPHcRCIWwzYRQlzLgQAafg6+RE2f9/361K78NnRTaO3iDhGoBqcQbqa8
LVPqrGweDpOhpyb4ScJSO39B/QK8GZzb/ALzzaFxWAVvnCM+e8pOp81QYFe0fIFCPOdggNIyMi15
tEuDIJ2RLOONMFpBn8K2o1wT2nnGr4fQbDS2tb6gS24UJqbET3YxgakbEInXbPKLT4umy8ucgSmt
59GjTEfXpoacR8szx0jYZrKnc682+mT6YZDDW22Nfj9rCUdtS1yCkV2L4/nMvCFgJSKPOorCJqB0
6p1NYkx3I/kum8JvMETYVbHy7OAUKbXXCBQ99rqMQ2x7+gY2UPU2ww+IdDxx4WhoGmMseIx5xRhn
Q19weAiynERNohe2nV0G20F0x0ALUBho7XfVeV8qsnMjyATjTh9aVPEzsb2aTccZvkO6G2nbn7Si
e2dSeylBAZ4NVWKtnFAnlEQNfaI3AWdOcWNrfc53Uyb040K77aA5XgBDADsqwLgMwRXaLc3nO49F
XtJ2KNjvOvfrspD7WNM7jdJCfCVdpzg7bYyKbgaREltYtto5B45RymE/ZDaE1KL4jusq2Kl2+Zq0
/NRiIQGFoZ8TX+KGgTx6FbZ+dMzfVmYRASKiv41Jpw5TMEbXyfYlL3dy7F09wfLlfG+D7i+yJspd
6VAwSGU/VTgByZkcusfS50ctvY0ZZVTie48KOcwH5m82m+jGG6b0Fi9K/jkwm/ao++ZyIwvmXpNX
fB2rWN+ymTbs2pl8IveCF4aw7rMMlopM0H7liuHa6GblNzypJr7ZuTmOduXuciCfYR1o9Y6DVXXD
EX2Ffi92KK3525DGM0dh1wMayGcgW7mI9KDzHwfdXG4La4BjUi9Es8HfGGGDTEXLx5cAFV547Atx
EVPtP3Sew9+19Pket/HRxS4TcoBJPo9DOd06hIW8eLl777juFBLUerXNZjhYo59AsEzzloZyzIUG
A2l/CUAYEHCK+msWfmQvsWuGa2gnd1oiuibKG28uOmQjTBrz3alV7Wxn7vPGbI3mkzQWcdAX5R08
5fhfp2LQXzAzvuVtLD4tuqXlkZSpPOStsD45lSsjY8nJycYpLeTGIQ8pQM4KP9pxWBF6dYdK2rmj
n046C7umRolhtkSk2EP5fegtYsR5UBPuKW36VTzYu/u2NRwemZpO5qEfgoUMKAxaW3gj98z/xpB2
6g1wrPx5IDPwW510J5Dt8UJjO03CLrHe4Uc497WbmW9GkmsVMU1uUCASHNWxRRzTbbKCDNktaBX1
ppPvu22bcbhfph5nOZvnBWsKKT61e7u49TnG2wgbmNeBOnCYI4BZutJ7jxOvCmkze58C4WRPAHFt
0LiZs+2rqYwcCGB0mdoFF2znVVEjrOaut2z4rJAvhyuuGGTVetw42EraEXFk74tqK9UALZRAyj2S
6HwXexNwZ8YYUcvnonnoantY1HG1pyOUPbGbFU+84sbnclL6fZELsq0REB51Z6LijTv31NUSUWtG
fxneMoPwx8TMGHVIbcZNvIBFoRHJA5HqOB1b0MYns4M2nFbKKDbKrkH+ykSPFn3oPwt4p0+6v4zv
Ds2Vgz80wbnJc/GJjI7+S2M5fcHz1+Ria3XutqgctHlUV3TEehKVc44PA2RUgx025Jw0BtslaC36
aMQWySjLeR7OgW9XVeTHpftlIoPefSakKlu2EpAe1Q/saB7EXglsrC7CGruw3atrFemL9CZEtgh7
78ulxnM04OO6lLXKXkBx1DsUrZW9rRZVHgEF61u824m/sfFI+fgrp+qJvLT4s+SPHlTF9opy4R4C
QE0R1o3f6qputlrqMQIVS3Lua0rSspYd5I9KVg/0K2iq6p65n/yqgPGPYnyuRLrFN1eGrbaUw8bp
Cc6ejJoEYNvpe6DVoJZz+hWY34zxpqqXEe9JXh9GMDO3ZmvF853v5X3zSSW4kLZBovTOLULYcxiw
3qs2XQ0IzINNkyAtys3MHxPEg91k3yPndckvp8BrfK8fDnmQVgGeLVzj51LZRDANuRGVS1v3sG5T
9lHGUIrSybUOInWdJ1w0jCqXKcHN0hc8i99QmMRbXcvj5CaTkqQrlnCfM/5JJmJByDIDPuBN7D4w
XG6kIFJ1BDNwpzrE9hV+8P3iuDCyBQTkburbY8+a3I7Cym7anMiy2By971Xf2G96DZEGszX2/L2q
2oehCOLsBTXLGFZ4qFBku+vkZFmcLU1u/y9cC8nBHStKcENAmO/AFz8u+aRHmcvuHAW4znaDOSyv
OoX1eZpbZB+cjxsPSDQU5PG0mLg82jZrCUi3q7tpMpzT0mZTaFZ2SyaYAX3ASCuiHAqamACXqA66
1YldSEBnfd5cbburtvgP7S8DVWQkFFk2mJnzKOFdR3HezZEyexGNpXfUSAffNhzc70SSBbu+0M1X
x1b2AcdEC9aGnQmekI/MtEn3WWJJwq6wWVoZEPENyR/TtzLQ5L407U+WSoN3kuI+ST4JKhRw4a1p
zgeIqx2l1JjcMPb2Fd5Pe4pYN92uDZQTdTNYDsRppY7QOUNJEFeYkUpe47HSiq8DNf1mNV0ctCy2
thrCvbCe3BqWZSmGEEPgjE/dsnZkTyPYCDztk7CW+a6d0sOoivKiEKDhXq4tcsAmrYzKOU3/alvX
vsRxlrHRdgmSQVgOxcDGP5KOPZcpNKEex1uPyIGXzjR/ToUeXKVKcF/XaKsLN3MiNNFsmEPTnDLd
uPX9Clz1ADosHNvkdfDqnJxvcF4Udp1/LSDcoURFLm6UMRiwMrBePgIMAEwgLK2ytILONbx0lkeQ
oPT3tqMM4t9b+a4rXqw+qp/jjIeW6zcSFCYdMdKsTspwLsDc514CbmQh2Cyw0gh0HZKVWj3j5zun
Cbk/SwdjoXwecrmut1FvIshuoByUZUXuavpjThmfUJs4r9DCYsh8OimW1mzgI6hVXkY9IARg9aq7
Adtcs1oGD1TSGgbQ29lNmSTFLf0HXd+OZKP7kWx1eR0E9Tb2OHPbre0f5Q/tMei6Em66BEqY+/pf
U80RLRe5PFS2GLeT1pmfAbbTEWj7N5EqcfKgoW8g8+EpacZtms7Q21u34wWsMY73Kvl5gYiEOan7
xnmNUmyuaRrbS14d67GVRZgwO36SIoYXIqeLhWbwkVLqIdO6LvRw35xT15rCTi0Ujk0KaWXp0EyP
Wr+t5fg1MDrkUrNFuJL5WGtsebm0oTa5uO4mx/KfUmUQ4NX19TbQfcmgMnYeljUo0CEB6fx/uTuz
3raRLAr/lWDeaXBfBugGRosly7ud2O1+ERhZISmKi7iTv34+asmYdpzuDvVgDJGHQJKLxWItdznn
3LB2LzwhfMpiI6UysXuf6NI3FDux/2qso9CJUcuI5CeFWjlnShGqzykEgJHokBWPheChAmr6LY4D
oTlFKF/PBkQ9ML6rOEe+RQ/uzDoToQI6K2mUxSZFQalDCUK+KACcWHV5BxOpiQgfz+eEnbKyPNVS
8nAY/4GEj1NpEz9XrLuQDYu0kqJFOo83N3KEkd0MBX7WgC76yUwOMSUbz6lwdeYjXlWMXj+pgutC
VzGsJR/yK6JunjSAX0SJUdS2pHSci258BVjQPOM/fOWH5jfZke9QpmPzgP8ys9BUm9UahytCK4u5
D2Vw4gs+EFU9VweGAbZaW1ezxjPgH4nSQ8KRhPJBButYbmOBcegA3ckN+HeURWRNYOV5ktamvVSI
STJbgl4lRTldRfnUKDaUB21mpMnFIWBh8cynGt3cSrF11tqG+qTGLJaK7BSQvDE2fH09izXCfxtL
TIchpv4Qy5RCpermInGKW9jSz2LgMePntUbQP7zdqHE4IjBjnIUqGvOGkLkTfBcCiBSxuC5l9dGD
7nSezYUYeT+dHPdaCSeuGDtwRgJpWoGoHiVanp6F5HyIXGQR0FeIKeRlb3NBJAw3L72hG9V/+o5E
5CyrlVPDTwAsZsrXuVZI99QuRaSuqssEPERULrXUKO7Z+9DV1DW0UNCUmyUbglGitBoiMQZNODEF
4iyeR5VC0fenlh5eqtk6Hc4bRQUg5KFpOzbADRiDlej6M3RfhpLVoKHo1bGdSlH01AISghEyEc2C
ol+woqTaF+xID5JrQ1xTnoMDD7F1MC6QUqg1Zvi4SKB8Vu4IyZZZIqjOWAnq+it2FkvLiQPbW0nm
dVQqCK1nbr4QPP2bk0g1REFXSGcbwtC3TaWiAYgWbziMPbH8YlZafiPLrtpctfACCPxGEE2IggaQ
WDIlpkwCqCcp8qAP6b5XjWLZQ7nFa+r41IvJoqjiXLiSSO4WQ43DYOrNi8+1o33BQtDuqZIbIYhU
Z1PWQT3Wk1TCuTIfSlNnh3dD+d6BbTuEhnsNiXlOzTUAcfClzCGgftkbrXHShfNSxqi5WIeEVjeo
kJ5jQ2TVqQMVB9Slp+fQE9l/BnomxquJMyevSpBoDVuKWBg2TaBLgxDnBvOujGI4SHqUPCSxujmH
3GXCVI8MC7kSkRhfDVV6WLMvPOkRCu5XpaeJnwsa0EfmJm8ec1AByJ0bc4JGBKghVKKBeankcX5h
MHsgpMZlRjYu9C6aOI5h3xLgGWRJ7mAx1STEJDlDJDFBYWEYsMs8weIx/lQTF+S7n6+yaUzt4MFG
qDYYraZqIm4kUPUFBH11D9Obcoeh6Meg9WrR5E0I1sNaTuE3uc4KASZqO1YjYmr1Xe2DA4BEFHjj
BpodTNsUx7uSOaIxQYN4VCjxtxLzekyK4LYWMOsb6k3OYl/PRlqclxNoq5vbyinkx9UKCxytGjbs
JtGkG0pwwtRabwrzLgXaicWbONHNuhGKRwFk7ExxN8RlWomIy6QWskc/FsQrMSjriRyTHsd5TZXb
FFTXnUXR2GCQSHPrnOIr8leIDv4sS83iXpbbTG0l56zSKGRbHVBcOoRknyIriKTiikVZAhEd5SVR
wYGCvPzqigh/xnliJVS9QSu71k4zvdR408FqPM8SZ4WGQXrTOCnCOnody2OFMNRnsTGc2UplqwzX
SByu40B6mktU9eKkgChMpCMBcGB5DqK/3uYx17XotBQ4dZ1I5TBjSo1wdryx6KSrSUytYdhTSXCe
zCvjrCjFbBynun9BVcEQnUbgMxcRefcv6FZlFbssNAL0v1C0TdQ520km3Mb+Jr4C72FOA1dyxmnR
xBNAsOpQiX1miZCQDTaBJ/1B9BbqKgJGn0Xsu4sk2pSneYb1TzjTIEojQEN3VwV1GByoh+Qyhk6c
Bpd5Zi2EQoIzJwXzqe5qGbV1G+kSnAtlFVagQ7yNcgZf2bwBTFxRz0IryMUb4DLQAx6pSF8xaSxj
SLw5maWw1i4RCvIvoDN8Dc1KGhdzMHcrs7adOnCHsgrDeW6uCCtKcwpBbpL6QfCU+amRSO44lhuE
wJnoE7eI02GR1PIZ8gTEbCI/pFCGZTYjV6mkETAxg6IzoAwEsUmePPA/Q1wF1DOTCqiMIaX5jWlE
xIElVBdGoSYX67tKc71R7XLYrDQ/ovYtFXIuBGMzKjXSN8RYJSyNyD2VfDAQVtRcaX7D5+L8NlWq
+rqE8DWQC//BSuU/FIfNWhPCsQeqYUSkxLZCcNFUZvVGZek6I6jlFMcEB3UqU31uSrWEieqs7hoT
4mekIqhpgfBB8Ky5VlxPGaxXm8c43axuKIw3RbRyimGVTQo00P4UKtIgsiL8oVDW8FRssJAr0AuT
GFmmQWXmdmCtNrdlvrlFUWVdDyjVydEutY6guxauEbavh3MRudZNKMoXQD6fqQSSX7aSvRQ4ocaQ
RxqMQA+IYPTS8oETVBdFHFdgxjf/ZxJF+/x7y9tAq87L6tt8mdR3SwjmWXrI67bf3kRemH0m1vor
P/p5Q3tayC4RvojyMGt7QJYufJnWJtz7Kg2+7dK2vz9rYW3T4/x5+du/FItUOBriVE8A3M8FFnKN
8s7+a8Gidp6EYCZcjy1Gydrd8MUQvTcIP3++3Wj+/DedJ7ARHQqph0lF40X2cgwUBUTo3xuFV228
GAXy9yTZ8SrIK7cX+fiXo2DqJ+BbZFhf+u57Rgn0wQcaBUq46q/lr96ZC++OgiqfYHjIqkLdw+31
ai4Y2gnMM7A+ZLi2F1C2jzUK0AVbkmUHGPKPRwGRLxAcLfRi95Sgf1/OBYI9JzquP8nR3bT7SLNA
5eX0fX6FWQCBrOWd7a5Xzy+jsYtQKzJYH+71I2fCyu31+mXzBLJvCzHfPz3Qm5ev35RPVBPIkAwD
7rBIPtYiALCu9p4ExonKG9YME03g9gLr9HIU4FYwCaCOwOXYjsLHmwv0jZXbay6o4glob4IqIBC2
1+tjwYJTyUJpi7Tsro+2IhSEDv6mifD+scB+p6AVpeji96d8ORdM68RA6gsY6IddEaou786qRfVv
Zxl9t93eGkrvjgKGEkR0yi/J2g/ngiRJJ0jey7LcSj9+rB2BV8Mu1mspKMYJkEQd4XRr9/gs+JeT
QJIs6iYjJiEdjs2PNghws3rPAfPEsihzAPjzx4MgaieQJFtz+aM9vaxg5fedAywB9nxVU/YbwRvL
COysRqDe2JvR/+BQ+BtG1HfXa+h66+et0+Ut0x/5Zu/94OBuvP1+72psWfj4VJ0ftj7Y7t7L70K0
v3f2ia0j8OLLg2Owvc/+z/cP+PbWnXsdnurw4dRbJjYFSOrtF/W+m1d2gOv2n7X91Q7sl74QZzEz
7389+e1fnX6+eP9/0XDqv2q3VZvo3S5FC6Ku9C4JSmZl/4Z9O0y7iG+EDph+fVse2muo60nodYZj
t5/2bjtaR4n93Klmsduk+rcchstF5i3yjqcML44V27fx0XJtl3ayPLTUrhnkII4w2Afv/lP07RMw
pzz42h12CFJHmIUU7Um85877lHZ+Q9+RmSyjxOl2ueUgY3/1bXnKiHveoZ12xGGntsLUfRs+e7bd
zgTce9C920UyIoy89NDDbZd3FnnvpsNnFBa670+FqHG41S5k9iv73llUvmrWMvF7+nb4/O3eBH30
COvlnJ7lC78+dHE7yK1Pdvjg14fiIqLg2JthhvJ6hOPlEt2yzu7R1oI9Qp8vbUSvXkvqiDjr/Yfj
0k5Te+Hm6TLLOnNaFjX1GEPiLVzPsbuxXUzqI6zwS4+zgORIZ2bLWOlHWDBoGqbtPyBUhzFu56As
IZF1+ODX52DbekQu79DSvumjdJySx6/2EFmCt3W41a93+mr5NbFfWU8wFfWjNF3Y3XNrb9T33aCu
luWnqY16uOt1j3XabwM/x2h/tkzSZX1oa/sqgc0dqfHLZeUtOscY4fA2EniMnj9FiX9oad/vNsba
u+m/LEfx3dn4NSt+V+9iZPuv176it+IIffv/Xh22nr2+9tdYJF2vRiY1c4RN9jpZomR9ePLtq9yF
y/sOxc2SNH29LuxXboKs6W2Rs77N/5VcXM8Rv4/yzP30o7oosGylI5zLuxu8nYht80fwRz4z+ss0
XXZMin1SsO/Qv8sj7jnmXzLbPUyMdiJC7m8DlH27+7BMAk62Q0PbljmKj7ARPnh4Nq+mt0JE+Agb
yaPNuRM6WXdp7pMYfUfkcZlmn37YeTKZR5h8j166iCiG2tlW9kH33n2vI1LeTudt6kh2HT54z0j5
UaTpe676bfzpkIn/0Z91g2vtLxbrpZ38/l8AAAD//w==</cx:binary>
              </cx:geoCache>
            </cx:geography>
          </cx:layoutPr>
          <cx:valueColors>
            <cx:minColor>
              <a:schemeClr val="accent5">
                <a:lumMod val="20000"/>
                <a:lumOff val="80000"/>
              </a:schemeClr>
            </cx:minColor>
            <cx:maxColor>
              <a:schemeClr val="accent5">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sz="1100">
              <a:latin typeface="Garamond" panose="02020404030301010803" pitchFamily="18" charset="0"/>
              <a:ea typeface="Garamond" panose="02020404030301010803" pitchFamily="18" charset="0"/>
              <a:cs typeface="Garamond" panose="02020404030301010803" pitchFamily="18" charset="0"/>
            </a:defRPr>
          </a:pPr>
          <a:endParaRPr lang="en-US" sz="1100" b="0" i="0" u="none" strike="noStrike" baseline="0">
            <a:solidFill>
              <a:sysClr val="windowText" lastClr="000000">
                <a:lumMod val="65000"/>
                <a:lumOff val="35000"/>
              </a:sysClr>
            </a:solidFill>
            <a:latin typeface="Garamond" panose="02020404030301010803" pitchFamily="18" charset="0"/>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sz="2800">
                <a:solidFill>
                  <a:schemeClr val="bg1"/>
                </a:solidFill>
                <a:latin typeface="Garamond" panose="02020404030301010803" pitchFamily="18" charset="0"/>
                <a:ea typeface="Garamond" panose="02020404030301010803" pitchFamily="18" charset="0"/>
                <a:cs typeface="Garamond" panose="02020404030301010803" pitchFamily="18" charset="0"/>
              </a:defRPr>
            </a:pPr>
            <a:r>
              <a:rPr lang="en-US" sz="2800" b="0" i="0" u="none" strike="noStrike" kern="1200" spc="0" baseline="0" dirty="0">
                <a:solidFill>
                  <a:sysClr val="windowText" lastClr="000000">
                    <a:lumMod val="65000"/>
                    <a:lumOff val="35000"/>
                  </a:sysClr>
                </a:solidFill>
                <a:latin typeface="Garamond" panose="02020404030301010803" pitchFamily="18" charset="0"/>
                <a:ea typeface="+mn-ea"/>
                <a:cs typeface="+mn-cs"/>
              </a:rPr>
              <a:t>Performance</a:t>
            </a:r>
            <a:r>
              <a:rPr lang="en-US" sz="2800" b="0" i="0" u="none" strike="noStrike" baseline="0" dirty="0">
                <a:solidFill>
                  <a:schemeClr val="accent6">
                    <a:lumMod val="75000"/>
                  </a:schemeClr>
                </a:solidFill>
                <a:latin typeface="Garamond" panose="02020404030301010803" pitchFamily="18" charset="0"/>
              </a:rPr>
              <a:t> </a:t>
            </a:r>
            <a:r>
              <a:rPr lang="en-US" sz="2800" b="0" i="0" u="none" strike="noStrike" kern="1200" spc="0" baseline="0">
                <a:solidFill>
                  <a:sysClr val="windowText" lastClr="000000">
                    <a:lumMod val="65000"/>
                    <a:lumOff val="35000"/>
                  </a:sysClr>
                </a:solidFill>
                <a:latin typeface="Garamond" panose="02020404030301010803" pitchFamily="18" charset="0"/>
                <a:ea typeface="+mn-ea"/>
                <a:cs typeface="+mn-cs"/>
              </a:rPr>
              <a:t>by State</a:t>
            </a:r>
          </a:p>
        </cx:rich>
      </cx:tx>
    </cx:title>
    <cx:plotArea>
      <cx:plotAreaRegion>
        <cx:plotSurface>
          <cx:spPr>
            <a:ln>
              <a:noFill/>
            </a:ln>
          </cx:spPr>
        </cx:plotSurface>
        <cx:series layoutId="regionMap" uniqueId="{ADA869FE-56F8-40D3-B970-F2C3FFDC29CC}">
          <cx:tx>
            <cx:txData>
              <cx:f>_xlchart.v5.6</cx:f>
              <cx:v>Revenue</cx:v>
            </cx:txData>
          </cx:tx>
          <cx:dataLabels>
            <cx:txPr>
              <a:bodyPr spcFirstLastPara="1" vertOverflow="ellipsis" horzOverflow="overflow" wrap="square" lIns="0" tIns="0" rIns="0" bIns="0" anchor="ctr" anchorCtr="1"/>
              <a:lstStyle/>
              <a:p>
                <a:pPr algn="ctr" rtl="0">
                  <a:defRPr sz="2400"/>
                </a:pPr>
                <a:endParaRPr lang="en-US" sz="2400" b="0" i="0" u="none" strike="noStrike" baseline="0">
                  <a:solidFill>
                    <a:sysClr val="windowText" lastClr="000000">
                      <a:lumMod val="65000"/>
                      <a:lumOff val="35000"/>
                    </a:sysClr>
                  </a:solidFill>
                  <a:latin typeface="Calibri" panose="020F0502020204030204"/>
                </a:endParaRPr>
              </a:p>
            </cx:txPr>
            <cx:visibility seriesName="0" categoryName="1" value="1"/>
            <cx:separator>
</cx:separator>
          </cx:dataLabels>
          <cx:dataId val="0"/>
          <cx:layoutPr>
            <cx:regionLabelLayout val="none"/>
            <cx:geography viewedRegionType="countryRegion" cultureLanguage="en-US" cultureRegion="US" attribution="Powered by Bing">
              <cx:geoCache provider="{E9337A44-BEBE-4D9F-B70C-5C5E7DAFC167}">
                <cx:binary>1HvZbtxItu2vFPx8qYo5GI2uA1wyMzVatiXLXfYLIUsqzgwyOPPr76JSdllpt3yq0bhA+cEJMUlG
7HnttSP/eTf94654uHW/TGVRtf+4m357lXRd/Y9ff23vkofytj0q0ztnW/tHd3Rny1/tH3+kdw+/
3rvbMa3iXxmh4te75NZ1D9Or//kn3hY/2At7d9ultnrXP7j56qHti6594bsffvXL7X2ZVpu07Vx6
19HfXv3r/7765aHq0m5+P9cPv7169v2rX349fMt3K/5SYFNdf49nhT4SlHKpfW0e/+lXvxS2ip++
9igjR1Iq4RNByfqPfln78rbE8/+6bRNI39nqy/Uf7elxR7f39+6hbSHO4+fzZ5/JsBfxzvZVt2ot
hgJ/e3VTpd3D/S/X3W330L76JW1tuL8htKsgN9ePkv/6XO//88+DC9DFwZVvTHOouJ999Z1l3l++
pIW/Zhkuj3zBjCG+/6h4wp5bxldHXHAmlFD77/mXtfeWef9QVVD3w8OXy/97w3zz6IFdVgH/hna5
/PiSEv6aXQQ7MtwwwTn7qvdvI0bLI4VvpKJiH1Hqy9p7u1w+jL98tC7/cvV/b5Y/nzywyire39Aq
b65e0sFftAqHVXzlK672WjfPo2Wfx3ykuoME9sY9xP9J8vry3IEpVpn+hqbYXfz3TMH8I2mkpIo+
WeLAFD47Er7mgvn8awDty9k+QHaFden97Usb+nE9+frggU1W4f6GNjn9L9pEkCPKBFW+2Kv8u2Ji
jqhA8Ehffg2fb21yWhRpZVPU3X8PPH5slD+fPLDKKt7f0Cr/On1JB38xaYkjxY2RXJGvWv+2lPjm
SHOGWDI/jpR/pe2drdr0P8Fefz56YJdVwL+hXW7e//fsws0RZ1xrxeQ+XA6gF6X0SGmfMaYOivtN
d5u8tI8fx8j+qQM7rAL9De0Q/hebE66PmBRKGWr2dkDt/jY+KDVHimqmqXiqNV90v68k4W2R/mFd
lf4HxeTbZw8ss4r4N7TM6eaLdn4EOf9y5uK+IRo1ZZ+5/EPLILUhbWmfyC+r7m1yen+b2C+XfrSR
H4fI02MHllhF+htaInzzkgL+miW4f2SMLyURT+3IYYwQeSSF9rk66A9DC5x1e/8f2OLPJw/Mscr1
NzTH5Yf/ojlQOkCXCMmfSvp3gaEQGJL7+qmth7m+BVqXD8Ptf4J9vzx3YJFVtL+BRV7e4reQ89md
f5HrQlmXBFSX4Ppr4/FtOTHmiNA1UMxT5y6e2+aAgfr32/pxCjt4/Jkk/5/orX9PfX3lCDe33e32
kVz8hv16+dtHcUF2Hjz6rFV4Ju0XtZ7e//aKCWj5K2W5vuJZPBwoba/zr8893Lbdb688pY6M5lyB
xUT7TwUBKhsf1q8ADo4kZSDRDJeAEj7CsbKuS357pSkiVWiYm/mUoUq1tl+vUyRUziTqGgWwMEAX
X9nct7aYQRZ81cbT379UffnWplXX/vaKI8vW+9vWXa4rgnowinKmFRgKhg3Ud7dX4ExxN/0/Bc1c
RcdcPvg06nqzZbWovSIk9ZAuH6Ts6/xWeE62u6qZ21lsOjbJZAo9G5HPceVE5YWWTbk+M4mc+01u
vKo5GU1ZtK8LWdbeHNh8kvVnmXfZZDfQVZHxMNZa0Ac92bm/KpJJF7e+L+vojpe8UZexSpuaByVN
W2xF1NKVbxJKurHaxIV0eR3YUZblBdVzgy3HZUnnc1byKvvDaweLZ74x6Q+UBI75mY4MAZ9mkDbN
ivUYgUd8qyNNy7RPVOI/RKOtsuakK0UhTgoxtE6fLG3cpWO4pDXAXkGilEW7l5engPPP19eao9ES
3OewFDbzfP0l436riErvM5rzPA07yyVPAmOY12Q7N42x6zYu6WKRBJ7wlrp6Owo+tyykYlEjP+tU
UrV5YG3DHb000m/w3cubhAt/u0dNOOfo0A1fecXVLZ/vcUpSjyWOe/fKcwNhm3jRsW52hS86ToLK
dUp9yiWJOrR3X8Pt57ZZ1xVGaIZWiBmfH65b97PV1uP+fTzD51QwkLpof09ExKo4GLO0T99UEeYo
XZAkFg1T8PLy4IoOxNbCBzXBjJBouPSqlm/CJ5ZD6pEp4feeLnTDQzkSJW8RSF53apdUF5epRy19
zfNm7q/zlpAlCTCyKKCUv7oT1GyQ7dInhqBEkOc7SXQSFdlM3L1QI0JuN1O10Hwn3di3Ypv6kVCf
XA8VNEGr0Ft+smQenNkOqSX1+BOrID09V4tkmMlI6SupYBp+4A2dSkk251V0F5mlku7YNnUZzVsv
KlszH8++m+AiL8tPDzKZJtKQdeCAQAX25/6BAmKzZNLUnfc5SZ0uvZOpS9aAKCebYFbTj5lYRJiW
7czqYDKMQxEyJUl/XdYqm8PKo666NmVSumrTSOvYVTmkVfv55W2u+fSbfKvB8BIhiJBUI4dzdZBL
+jHyHWmW6fPkOgcnIH1OYB8yjVx6weT44F3XLG/WoOlGu36kddz/xD7fKYtSpYXiRBlfcIHU9txb
/Ia13dwq+7kqpIccniF7LWMwzKSb5TmPJPJ+G/cuvy0zWSGjurp0VJ74XuYNedAkyLZr5p8TPFWl
SzGciymvbfmTtEIPAww9NFearXQGLKzUQX2a+FjVplr45zZiyiu3WdfWRf+2Wbq0rsKxmRtsztPl
gO/s3JR23vj5MnvXY11Hp61xRRaH5bKQ+bxMmqqLgsoQFXVhL4lXXKnSxEsZMm4mpETmZTOtzshi
Crw1T6OxaX4SphQA+pkDMEV9o4wimGqiBZUHGQOeWTVDNdSftLQyk2FNfAlXjKLeGBfSRXtI7dG8
z55FL/Bd/5hOahr5+GoaO66aXT/yn8eQOMziDGjDIJAoZZhWfOcW+ZS3ZZTY+lPtEEXNlre5L14z
mvD5nLf9DHWYaCiWD2UyzbMO+sSNTRIi4Y/qKm6WyDtxpciWD87rW3Xpp2oFCJMYysIc571czWNb
buBC86DlcFW7LF8+LIXKxzwgRbEWrRTah4FsZRJc5LMDEvHLaYLtuMxmfLQLiTt/U8uWtzul+9V2
+RSnABjN4/LGj715DHw7ZXiFBXjAzlOvWrFBV8syv51aVTX1zgyODteC26W7cC6PXFAUpWNl6MVR
OZ3EAsX1Y+VXkfgwkIHCybQfA2cMTWUBUV7ODYdZE9rXRGtgfKGV5PTANXg0VzE1dfFpoWXr4mBi
RNdtMNrMFqe8b0YkipdXPMxGTCMXMYq6TQVq9+GKrSNtMpZ8/MiXfnXGsRdr+mOtzlG81dBI9SnK
+AInHFnftfFrjcQCP315GyucfRYUXCvFNGqFZIQJoOTn6WjhQ994RpUfSlGVHQ8620vvwTZJg2yU
5G1Fty7SNn07tH6MjFMn0sbb2O/YYANf67EYgo7FzXkR+ep64q7w56AdqRquOt8jadjIZbLncCKS
BBkRUVoHIlJ0DfaEwA/tkABdnEZZ3q2RP6CBfgN+VddzwHPHp+H4ZYkP85rPUaBWfpY9Uh/oCZ5L
nKsoqcam1TdDXxGAWOkcA4gdltVvBUCWOEnoOMFtp9xwfMTdI7L1VL26NO+zkUXX0aRWl2ZNupTu
JK0ZX1Nks7SE7ppiqNv0eJFzjqiLxnLF1HT2S0Snpg3C6GWR2EFm84GAfJRNZDVYkFJykKobXpWL
zSp243cJR2x1dbxuoPN4v4buYxyDJJqxtyiZ1hBHrlxTiqsbFBovoYDxdJLrJdvkbX5bmEyLk3Qs
Vj0082jVZdRMuCtN+CriHJeq3eWednxX+27gbTijXkDcn4h20AFANEMxEaQIFSIF8N5za3VTTnXR
2/mGx8OaqTrXwLWWYkntXUf8nFXB3Nlm+aBZtdbH0rMUBplUWcTzdikV7eKd4V4/3gClOqhj1BmH
9/FhQTapUs/AxcRY1Gt265E2T1JWj0hrHRAJFky7iOAv9FgUqihjAVV0nU68LpRFnyEkEsMy/LXX
z5oK89uXlXAQoz7gAtCVZtJH20m+g7p0XISaVeO9H0ptkR328JYl/jTkITrLJK5+lhYOytG6pOAA
9gRliSigpudqJ5kFaq0n/b7tKTykm7sODoXaD/2IrBZWbqPRs1MbqILPUHgxRBUgC5IetDS6qeje
atX6UbaLOuEjGSAghysH1gUVoPQQ+N1UoVA9mS1uxgqqnAq/QqwgilZzxPm0GsLLUooPM2dmuCK2
tNiJzHPUplx1a5/6sraF4RDuG6QI4dcigCRBMT74vqMCHGy9mEzz+ySZVREFXZ/zOoxGEmWXii3C
zdsmcar2A8OYyZLAuSZtzkjR80kGNdCOd+7i0hOvozLRPGxGO8V3JC3IyRj1Qm1yXdniXmTF4q5K
q0ocJFtoMb4RAyXTsvGzysg6bIAf2343jtIfLl2TRJMNVElKesGJo2ZTVc7QMJu63kWBnfxmyYKk
GpyYwnjKBwTDsLhxLoLJk5nIdobRXlyroptFHJKJ9mN/XJsxoRHwWxR3p12igcxCvRTjsqCthSvW
p1M+R33QtHWmdoPRMd/I0puW96OyLP3QiyKONlx0jIYz+lM7ByruWrMxKRvzMJZFfKIZ7zaNJeNy
HpmKkGM60oTtYq/1E7Ktc1uKm1kOce7dGEum6f3UTbx77bVd5V2hYuj+Xjql3M2ih7iyQW0tTdp3
ZlqK/DhKwW7sFiv80gYmt5wloXZL2/ifaZn51X3CajtMG7jK3DyYvhtHEubF2NLspIuqRvob9AGy
UMdR6eXq0lDt5fnxoGrWFslD4le8g5Ynyn0nXi/cDnDphbq2Tt5hetspsq0qUdf6tDdRmhQXlZzy
Jt5mQ9yNw8UoozhNd5Eox15eRRXjzanKRBL7O/iK4nlQDwtBWS9aPx1NEHtCNd0midySzadj3HpJ
ejymJapNmJtRIMEOddrL363XK9mewjlGLwpHDthCL/saqMsE3cz9Sb0pmNb46PYXvTQt8B0x6Opd
uNhWNJ+XvjFsOMuUq2N2QifP0zqcM5n3+niqMloWgRTDWheJ9FKIE3OJonI7RTMG12EmEyPjN/NY
j7V+m0VeNhY7nXOP1ad5Pxt/eKMyLlMTNMasnIR2nUzyDzqOIm85F6JooSlvbpCyXyNrN4k893jk
dHFB0yalxdssGzM/2o4ZEkG8tSnl2DtS1rqlefAKwrYkTua02ZA6z5y/qTriyep3FrMK65VZYcxN
H/tNEzq03tAs8/sUFSSkKllfgv0DsgRNY1ZML5IW0od1QiuudlkyrhrjRZfjw7ZJ511XpV5Tvhi6
2NehGTsLB1gq4I3jzrgS99V7UZNOLlBfk2n8Qy1pI6xWJBRNZkXT1Ty0FgmT/6LFtOq5EiYDl+T1
noMpvCr3E/HQNGhomp1LUyCtcPTprJsw9RPZe7Cg6Jv+Q5dVfVpBX16y2OOkXwSdXvuZXrecwtL1
cq3gWViB46vmc+RNq4Mp562Wl7OHa4UpV9UMA46JpCixfjNiDwPOF0DGJ3mc47z5DMItwTU51VZd
51JEhodiNCCAglonFLp48p5oaQ1eqTNvFS7q5kdl9PAaFz5hXCMXuf7FW5m/5iR13vWTqr397V+U
vL8PTAHLX2tWl9gArbxk+Jynqk7dcVrxGUI3bMH53SBmPE7JNRrw2JpA7g1ll6GDq6Hz7l18WlEz
RzKgeTLM6o0pewstDawscAurwbG5EDRHNJggJ/MKeuNSMlwsdEyaz2avQVsjgpDX9jIlLEWPFta2
UiM9mXt/7c7J3rR791BRXkA/SqR4Yit1sQo/qTmBn8bUrcskIlG4ONuG6ORm8VLRd2eQlK/q3TvS
0s89dgkh17fQ1LV4DpMNDu9qu2Td+l6h3jIu+MMW3Aq99Yis8ux0YVJP9XFMQCKR7Zj2FjFtsnhl
PtoR9k0HzZrPVMUV3KeVQKwQ3g0Au29acNnrC9mwfogh9vFRVGQNh3KR6/6rXsXJeNMXcRGnuyr2
8d6k4TTmJ3k7a9qd872vpFlrOn38pHKTDQ7bmVKe4yWoABaLZ3Wao84PtFkUuQFyy/xhUzdeV6Uh
aeMIi8sswYh/0xU1uM0ChAEoG5gp6U+1jddw7lFfcS2fe5X5uxxgcZrPuGmLyZ50wpKyDAsjinII
ojYGbUgN7XF/0jUtPgAaZXFZNj3+n8sRvJ0kIwVV1IDLLy6HvItACowuw+o0ie3wQVXRhC4gmpfV
90eDVJ7tJt4wZBjfJUXvb4sSJbbcTl4VmfZUGpSq6SNRU4Z8ExfW5vnJE52cdUXisl2fFOh372bR
4tzpSZ0lUMcxf4yZxvoFFNZGYx4tH3ji27G7afiYjOqk24s+mbiFing9LTkkyuOxlVu1EIos1zmx
qo9O9eo14KtWF9/zp36bj9AA7dkqb5emDB8ODo77mxTsoxekxQJe2QiWVyYAZTGr8jWvqcMdaqZr
DzvIvoVf7UmWhcrCRbu+alzETuOoWfCOZU+9RWjLwRo2UuSgKCOao/UtS/ROVdgVICbkeZmrNZ46
MaYg4ePc75AquYpm1Lx2RqbJduhsV+X1KV+pAtb7Obj4rKhiPO7mAlJ+HAHPIu9sjFrn0kvDs5Wk
tD3K3WudR1x17wRorDnaTlHmzclOjbUs2g2oC6pEoEECqU8i5hQtOYqhgfEXTyyQSlXlWjZKGa3u
5pijcL69JrPOgonmKUn5cDYusoz0u3zpR+/aAUyDVVjqxqhPyLfwL2+sF2ggE2SVIaorD8kf7eXK
UhUp8CqQtSntWH9SZk4a+llMhSoulWrqOdoJZtvO+2NMaTZFW1Q0XsigLcB/e6FfUO0+gJEc8+49
iZssjsNIzjyZrkYNbNPcmyEdGvaxjXxQE8cu74fShB5b2vzDInombNCjOkxo9im1wJRaS9PTHl5e
ZoaFAy56egj0iMnUtHmSZG/Lps5AEIeYfc+rWI/ppiiGNf+ZOV6zCdD/GrxpW653VI/sfZSx9Zqk
xMMdczyvN0Yc7ES5Ree+zjbSIqoRyjHQYnS5dDOttxkCdY1KU67fPLksMCUykZEY9mAE8EjBr+nU
i0M3zY7rgDJH/Ld9ouPRBiOpQNiLeYkMOx2bao3y2FtWOrDFnAgfArCsO20WAv8WBPOHS/CW687z
FJPGT08LSWdQ0hq4ine979iqNFt0HmRV3Yt3+T5h5XuisfHpSkZ7RbOSkK1TTohNGZeNjYKkUb13
3aeyhszdiCnecJayeIVxiZiwhh6KdVv9Y8B5NkcdCSLZr0Fes3XMuKnGafVJHS0sTwOZtFVZbpOs
QDTu9goBD7wmvRxHQfFe0VIvO08YL7T/E+LroKEHl4P8AA9mSG6KfkcrJx1mCOCr2XVircKudRxP
iIbRIs02nlgjqBhAvCTBkDbr3n/S3T3v7dbl1TqrIfuDyIf0u+sn642tBlW1T40ZOGDsAn0AIunl
pQ4IdEQTwXECrAXKCv+rta3/ZkI1+nnjR4CSX3yE5JO1YVNHQrzRBjMrZGSVrEbt0wwWtsIJmOwp
Ob68l+cUAg4rwn98itMlCuNw+Dl7vpdo4Az0bRZfG0zV1KdU0hWPty2OY28XC+j8Mz1/vyB+oQLi
QPmGgVw0B7xinjhCi5JEV81UoVDEOSr+qZ5zpLmnyH5ZQLrSdn827auE4G6J1JT5jGIcdbDgVGQi
rrpCXT1ljDFZVtJ+VnyWcjeJ1h92WR0t7l0/8jnblH215nPukBq8dhGoRz/Z0XNPx47QSvkGxUsb
iXM/h2Ox2RBv1DNvrop9UI3AdYjxqc8j5PXUH1KYIBH9jMg0HMUB0MJL1o1kNW/6JRwadPY7WXIr
STAhtcwhUn2D2xEfEb1MZ45+Mhz386x6n2ZfFuLQjDCcIJxITExwttU/nLKi7jYdm7zhMmnzNTMt
j0CobmXVv5s9vxc4y/3SUPlH60kCQ67/lFIH5KyegEaYT/rLp7I3xUmTBcQis9rAtWn8l6g1SUD5
U5y3QmDgIDWOwR/wXHyMwEQPaXa5L0sAyas1dF4gLqq2WQvGywKuL/zGTeEQGD8JRCDOowgwmgd8
5jgvU+oWmZ/oynO5DHVZav5JOQTMz0Lw+6VgOh8TPPxaDE3moWxlxMq5j1V8socigwQ7Aj9iTYmP
l6V6OorxjWDgCrGUwQEZwpFC8IOb5xmGEMxldJq0x25hJGm3TE7raYQexxN7+0e7VJihh7aNwa2a
oIwWdItBJ+OOlueo1jiCE4c2r8H8XDAB7oG8LSMZx/ZkBjaQ9jKa0pxOcxgxjJw+tk1Tog1yGRNV
sy2LfmFdSCxRbbnxnQTVdsEnarl6a/bzvFyhGeFvoqqkzfQ6j5PB4MhMP6iUghPJcFTjBI2GTstN
4WU1TPEEULSHx5Ig38MKIHQfxUI9prF9q5GPBKl7TEqG1I3WcIUB48A8AFrLfPQJFetxAyCW6vUl
b4sVzHl7bFNjOIpoJ7VPlzTI266kS1C1zlTpRtW6yPrgC+XRoGwmwROQeURQmKyN0O/S+GsR180A
Zgm9Ra7YtvYtlixzdBXDGcG0Io3DYipb9FPg84usuOGAvYZfqrkzoj7NFPFWMqAdHHjWed+HmXFu
ebNJ8r4E7QoGRmPKEGRJ59so9Hobj6QMGo7TQ+ytaUytx23cKCGb93I2w2LfY96wTrSAAQlTl7Zr
MUR4n9Zgm+MNDiHhOMEucQ2lWVhSgM4/ZrSerX8m1TSyT1ROc+dfgjaL6neVMVnOtlnVegSdMBLH
1IU4yoVZ+rayM2y7GSe2uDkgHpiJIQQ0o9IPZzFH40Vu2q5dAoyjxxTdtPEd5qJpQtpjQYpu/KxI
mc/JJhIA3FVQ6qp0v1dgXrw+8Pcjt6dc1GAeHqsLv0TeznZVUijWA0U/4iwQ3ytOnKtuLTp71yge
0WClixwtmzM4EVMHgyOqpMhksdXYBstzFoy5N5j3SOLWv64r4xW7MpWxDJI4Hq/lnMpsM6djdJyK
gZ+khC+npZuGEzAZ9ko7xcLJyORSp11BwBkP7n0Epz4RsbRtgOhLPmeuLn6PSWo3k6ERetGCd8do
dkEpsUqe+zX5ZHOEYzXW6kKNab3RIklgXeK5XaYnsc1s2r9ZsqIjW6DybuvPhBfwWFXeJXV/zaio
z53w4vNyaLutbEFB4+xLfDLY3mwSM/rvdJ00mOvX6X3aNtGmSOo4mEVVbWRkmjN/YeVujipMgata
Crzan6tQZJXejXjlqY9+7LObbH+Mcw/RfWPy4jifaLEEs8nkLsmIva4FuPmgAEXTBh638c04Lf5t
4VUSrXxfvh99lm4J68iZICZJA+t5/EKAptu5rsUPZjMdvQN5mOK8UsfNPcWoB/0MrenVwLIk3dVz
5W1pW3ZX7SBAOCAVbNp56s946+Y8kOXoh5E2UeL/ng7MzKc4gdDftUxkdGv7ukObk5bJHAz4rdWD
30ldbrzIc2elwXGEjaBd9m4aeI4+qbTnsu1oE0Z+Ym9J1tYXkxbkvFV09dBIrjPUeBjPJsDZ10Tn
wynYb+8szXnCNj6y3z0dR14Fy+LTBG1z7X0c62Z8aDxvCllKl9u2zSzDiYIaxweXpYXnJkVdBDgx
5fpNvYz5dKb6uIkDQuv0cqYaiRgtVTiMvOBn+FF4UZ+5qXE7VvfsXBblFIDp/SDH+Y70UXQpKMJn
aPtuA2qRpEE8lYPeyNnyrdBddVknwn2c6wmYjGC8HbdBn+MMRB7qNJZ14PVc3GIybQPOiurYgigI
GCm7dxOt8ndtMnd5mHddfNMkc/O7m+qSBc3UT2FEXZ0FGfaHiasPzg2BNyVLKCZ/fGtYmxRhtQzZ
bVbWS4AhT/kBP25rgroe6DuDIcJpzZwf9o5EZyKtxG3rq+kiA98/YOwgeiwadUHUew060j6+UL5n
06Cgubl1HkDNxgc+ywKZtc1bNap8h0SvVGjSRZ901CZvcU4HZzvGxN0wW9XHQz/R46we1K3j0c2I
PvlmacrFP25qMQdZU8YPMxRynHS677eAgfN154yMAicaTGzzuAtIMgynyuT1cQMcSoNYt+bGVJ35
zKeav89cZD8Py7A89HDwzaAtey1wsOCYoFJsmqnproEvvUCO1XDhuTb/tBBbHfOCRjiZBTr5MpmJ
QC2bkJFIlvrgg2SuTjQGM2HdVtlxLnt3g7NdHPsf2BklFd9lircfwcs1b02VuBM6F+a6LN1yHrdZ
s500Ui7a4DK9rATpzlwvxrdVG7n3zvfFHc8HJAfWzMOlmEsEDzitN5R3/fnk9HiajhO34G386jhS
pdigPcYJS9Ae5nTxXHQRRYl7tzA/ufFBnXxsFr97j4IfnyDY9OuFeh3OMKl0V5hIXmDCTXnYlabY
+Mtccfi7q3ZL7Nm3OSj4t/Fk6ybEyRCyc2PWfKy7XsRorpflwhnRn+OgUg52oLTvY76YEjm7nLZc
5/4JxcwvHOpFvPGHmIOZd969FzGcQbuYpVhSE87lBKy70T0obf8il3zQ3ZbgB+JFFxSmji5Gr47f
gmUpLj0xVx+Kzt3imRhEb0o/tCUQTNbr7HIyGY5fypqmZ8bW7FPvRf0YFslIXuOoT3+TsmFojhNW
cBGahOpzEVnn7wwpK3NWJn69wRxXLMGAeffGN0upg2zpzBCUPKourYd5//nsNRq6VmTs3EVjBgx6
6OToeFqJpnzDJ+G905VJ61BNLrHbxNTuKovTodxi5Dsn52Wa23TjuUriEGIUUe9YD227XM1+5frk
eIUeZGOaCT9NyaE1O8b5WY6e3BUh1UAuoSz76P+xd2bNceNYFv4r8wdYAS7gEjExD1xyk5SSUrJs
+QXhrUCCGwgSIMBfPydtV5ft6q6OnuepqKgIuyRlJgkC957z3SNzB7VEzEWoff68JtvoipF08S1w
PeaXq48S8WZBI7680Abdn8I+ouRCYxROfABWdDBLnJxoYMkgnrfQscDkzk4k06cAmx05phEcgf3U
uUGVtZmpfso83goQOLzLVK48xru28KLMPjUhqJk8qKPucXS+t+1XNJqiIMkUkNs1E3YoAgUd/y7p
sJ2WAOS2coSydRLB0hSYXWtPi+fsLO4758XZFuLyD8T2JXSavr1SWjKg/f2yRCJdSheLuAsgsM8j
nocU9mahfRf0VeTrrr5ta7izeT9A5i22xU5DHvYOxk+iRXsYmoiOFYdReNc2kElLYRt7CHnkp2Wc
kjqBJCaUf2y5krAjNU1cHqxwv+MlWM4ezWxS9IJFc55EbQgpDprdiy899dlkKE1CJV2wH0fmhxU3
daCDAiVc7Y0FvHmgaGue1PHFedGYoDDTqWu6Ajvpgi8YidfY5hM2oSmNq1p2Mqd88m1WtX3iJ3Ul
AztSeud7JtZvYOb27CCmNPrAjXm/bTV/w2v5nmeSihxtQv+0gu2oWMrUnuDwINgkYgX7K9luOhd0
ZxU2emdqlRVykpvME2CaMu972j+poYtLpWKX67SJsL+apf+0cLbtkrGDjcctu4PDmJLCt/M6lRsO
m+ghm+vwKQFApMrGQOvBesCCycHDrZ/9UbaPchrmtJqThN/O4zA+6WleeKUtN+wI1Zgnudfb7NiP
YiqDYep27cTo09ASv8qWerxpGfXugtZGN4GEaTnyGeZ1hraoDAJmPgw60fvNBkGXkwSHcEkyM82V
9OPxDH5wXY5SrSzP5pXYYmq5KKJ4NjLP/J6BIQUQqY9zjA9XOYjcTxvD+D2D7z3tBfy1UuGhXPPN
teqMUx6HfxO3XdkI1Bd4C+yCU6fZ6SSLCz3I+kU03H8P5c3uAO1k+5Fk/S6RiXjwBFGF6eP6HRn6
N50ACcbRuO2SgInXcQ2WMafhOL6GhKmTDkJmc6asSIsG4uiJyQAfmhMo3I01BZrd8F6gLTmZ1W8+
tXWYvG8Z99+1frjeGji3JZXTeAwhGb9AfA/a655mZR4KMt3FjIWoW7E5Xhdh9Clqr82wG/rrqW2D
+eNoUq+puriBEQoxeYyPAx2asZhVYxd4TdsIsTBZhV+EHfaRPPYaQe86OQcf67pe2jzo8B5y0SV1
WrT4uQXkL6yJ2kl67GMdJOVSA+RUqLVafurluLyV6NrqopVhSN7j4F1Vnnnpag7e0sblIoV3aCYa
vLlyAzt/M63OG+fJe0qt+KhNKnE8oPPcjZqBhhoZDW9h3akb6QCV5IqjpLm1s5Yf22CxTTFDZjR5
Yzr7aVkcnhU8lOjTtISK+dnAtTI5HDlTDcKEJ4jUHMhUYzcU88BGv0RASNmuT+rlJnLo33IP5chS
dmzyaOVNPZhfshn6ssxd95pIY4t2DueyI95EznpN/Ce4a2kGKgg1XB4va93tVxRVJ+x+w1rZqa4F
SrkMpScoDm88h/Xqe4VmVxLP9YTKSkmDCQMQKVhERVT3tYhas+MmhpXSt4VoUaSp6trGmoK5qQlQ
U4cD294Nsx7a+2D017lEV8FabGlZPG6yUL7mndt7JBBDdB/rkKV5609N+KEDNuoNhfFSK9gOhllr
yV1bj/GYFei2bSRzvdX9rIsEBy51ZQ3/Ku1yDZo7cuVgHOvbG5eyICTFrNGAyYfOQB0KcwvMO9M7
peXUvOO8jUZernhUYKNgGiccVG7sNMbLjqNWG4661l7/+zzN1tCqBv/UDxWd4LU9MRLAe9lLgFLL
UCoXeUQ8CC1b3IfIAy6lBUhmeAAGmDs+/pfeyxKC6ziLwZWZrC19R+Ey1U/fxFpPXg2Hpcuu0mjg
MytvMOt7te7BC1x9EDyHW/KZR4zYeA+uesPzNvlz1rxqudZenQ8phC4PnS0Ta4wjAtvx8qJrCArp
7YKC0p6JyIiLCs1nPbX7De4W7haOPDGKj2GqB9OXtFu0G25CjY+35YiCCoK5APQS9uwpXKhs4ioG
qNqEJ6L15EZwSM2CGge9A592UqYC+7G3jGULCukuAMyF0l1m2DFd1qCISqN9syS9cxIqrIGS2hRA
qnS3RhUfbNR0lVxB3GTQDoYxvd1Q+qUV87qYwQUzLJM696Mpi6rEbWG0h+/Xv8hUd2880DVLHowY
PssjjWenAm3SfyZDiyoL9Hut2mqM56wujQKnYvMtmGA+brF2Xyn7U9Zw80BBxx6gAze3I2Fh0Qax
vhO+c30lwx6wlslgBEuvexKZXZPjhBIuycNBuii3w9oOe7UQUIw2leuA4RzTfpYbYS221qhneYxz
VJdLuLnL3HirRYHgdRUqUHSITEhK9yqOlr5kfWo/ehuzTuY+Xyf/krZNS0sknw2fFIGBnc/CoDUY
Ns+gG1HCryuUE2o+6Jq25jP37FVxQUUdDMXW1nyHOS3DvF2v/RRwTjBlQ8FINI5V5Mh88Ocxee1M
F/lzkbCAjwUExYaiQ03cfO7TmOgyIFQv74A+AJvIlQRlV4DpmAwKJD8AVwRx68zRefd5NKEOv7Mw
3Gy+hm1SJW3cnTw+j0DZNcVwBdg62QPdCJyey3SgGSwpb6n3mFvAjUks9/IQbN1hkt0kCg3B7OMG
YAFrg2WP2iMjPucmd7Ev7YPDzS6jjKVZJcBWfPEAL0E8FJLfetiG5/doLtf6MRG9ulZdYdAcUMHE
JxUltPmILTJ0+9BE4jKuIbsDJsk/c+XjyqfrZoGrMQ1lZNsam8uGrG9SS/XDqroaHwFjbHCHk37E
bpr0GFZoaXbxIR8mZSbG9ehDtGjKFWzM2zWMMEdI2zk6DJEQwBMVfZoYH3dLMJB3sZr9PEvAIdaq
20Doz5vLMXLkzpipDJoy0LPBUFc3AJDPGpOZI48V6LR52ICDcrZavN2su6IR6IYLOSQu2MEhgs9K
QgwWltyEBluvh3mHJl9kArww5POEomBw812opb7lgW/SklAukx1ACPm82mQBdbwM+JSgAZL3kapT
nvcowO8n71rxzmmUDjlqatfkccsy4Cjt1NQlDnQB8gpyycPWQwHIt1jKuGoNALsyJH1TbZPF93AK
nA7YSC9LE8rf17keqoDNtlgX6l4T7Bbmxi6DkmU3mfQyU7VovBylExqCBipQH4x3YceCm7Tu2gSY
EHN9rnyW3XheHXx0XdOerCfnB7B6ogADFnzAVIwe4DMkmSsaOgtVJGvUuFKvTsx5p9KFVbpu0g77
rwq7G+EHju6WeKUvHqulPUO5akOIAWPv8k72/muTgXjIe4AY5xGECamSlTo0BVmAqYaJEdpXvS/q
55ZatRY4N1HVoT4v61BN6fW6xfdruEKGDoORndOuD99NoCx4bnT3Gs79+E4t45gj+Q/aI4hKgFLc
YMl36pV7K+GoraxXeKg87pTGeM8M3eX9wLV3VAIPdamaNrlf9DKeFjph1kMl7S10geTgMZK+QDFu
EiwDHn+UwRZWNiLzxSgXHNt5XIJCmHS9VmukBzozQOJJ5jk9zGE9xOWWeSic+iaz+4EGprtgWrYp
FcStUmGpR8UUUl2hfPFvBjfWYANX/13NnH2XscXP5awJRidpW/Vpx34HVkzKiEbLmxTl/t6PmP9x
BIH+juBbaO5ZXDgg/+8wc5PeWZj8e2kWPHWp/gBAeXmQmjiWp8tIfDwH20PGvRYVjR/1e5wHakCb
MYdlmgBOwXffrlOg3gqIHWVq0ahMmCneclv744uXdtGTqMOoLyKo+kcpBx9WGEjLNgw/OQ31X1Wt
hB6kPuKAantTwgPHFNM7dLRjLy8qmseI3i+inrDLz2l6ZZPUhPlnQALWiX6C1wDDcbyPHFAat18D
zGoEZTgSu9RHoutebEeA3G55wxq70k90iMb2IMa0X6KCRYosXpkaGq0Km1cLmgWeFvgIkflNTEqA
d/6GsjElrilUGytij9pZqJh5HFi6i6JhTd/Hw7BgU5lk29kO+xitCS1R54FTKD0Xcw6gJQJjBRwZ
ZTyoKodZaDw0wNgjChS0luMXMnkumUsYmgD1qlmurq3hWDa8BS0kObtC5FiDE2wQLvhGpkcTpgta
mCa0sVIvY7oyI0oYsSn6PowMNVachRhnPZbzioQ5vyIy1PP0Ubeb8V2OnyIbV6xjhJIs32SNneHA
MCYpsgKK9fWTRDEnWbevuTXJ9FZ7fAto3rC0xf8DC5/E9sZbZjTMN8LNrIsLS7I0Mbt/Y8/9PCAC
8w8D1BlmZa9pUVlMf502Ggh6DmFl9okITJF8d72DuKWwn1TYc9Cea2qGviB9pIIkT1SHQaS8g48y
F0s42OSN+Gp0/f37+tntxdtC4kKMcVUEXcE8hFf0s2fYUIfRJN4kn9tRXmeb+m/gR99mHRaiN8Iu
+zdG5c+e/PUVMcaNq3GdHYble40Y+JHJgGiYLgTzEl/6b69ovlE1IR0UrPk5qSMNCM4Q62HkoxEw
K7/diu/5CQ/fHNFvOQCfRonJGl5/D3b9xx//53ns8e/XuNE///K/rymzf3zH/9z9ESj7t1+1/zJe
s3PmX7/o+m7+8bPwZr6/u2uGwk9/+Eucw78IbPiWT/sv/udPaQ4/pYz8mOYQYpQCt/cfLMBf8hye
riEL/1V+aMcFHv6fcQ7fv/F7oEMW/xbh1mHW+s/Yhm+BDh6gj99gHgIDodexdOh8/0h0iOhvGQaU
sfGFoHLCBOsQhvI10wGZnShdADfF2PgxGYpv+uNj/nQvEWLx/c8/ZjrgefrZ3scAuI9BOoIhXz9D
Fepf198PzE9GZgy6ohdGEeqbx5RGfYV5EXT+3dZWiUSJie44uIRdbPbpGKEzMC47Yq3WJW/H9Rlm
Zo95T4xBYk4sPbQNwc7ChBiKYYRTmsRDXbULv3AZHqJ2AbkaQSLFHvqy6vZhDaIlb1eeFl4b1Lkf
CxTzc5TlWT90+Ry1OKCnqAuelgHllpRBUmwh78/RaubnIcxAniVLVAKS7j4TGDguDd+gIfs9lAuq
YqYfXeaWixhjup9WGkFmFLq/gGrTp1Gm041LavQAduoxQBFuTQn+0t66NU6OPQygSkBWPkWKZbtl
1iEa9XGLS47LeVaxF6BAh19bGiAgfZ7Y6WqnksEdNqIINt6r3UAnektUeui64CKJj3YHsxl3fYsj
nUE6FTbT+XU0sWrr1gHqT9luIbIvsGDGKh18BSGvXfNmnQCRQsrEzepvtiVqdwn1klMvRFywkfW5
jhK5swG3w8EOoQ94cba8alEOT3SYytXVL5nzgzdrT+OjjRLzOvjw0+p5ykriQpROElULqbqxbiA3
AuvxyY0BSrg9DSpsW10165h6n3Da+cmWj532tp2OUQHmehjnrSB0hA7jRcu0wG8R7oIZv/SccTBF
1ZpOoc2VM9O674NZHbCJWrThA8zBxo+Se9sPy8VLFrLkrvH6esmhGIdoWnlDb5NWkUJctfLKazcP
uL/JwJcL1A5nD6KJ9EpokpZv+1GqTam7UXQYLkDjMaaoV3L8INSrBZSdYRtOCRuWWL2OAaMXtUnw
uVAbx8YTbY5CUYn1kS1tvx/AKif8Pkw2Y9YdPFKit320SbVcMlhHLn6D02UmTx6A/BQjIZnogJ8G
vNc22BFMP9oGbyCGAWbv0Hk6Oe2mmQ268Dvivx1TaR8xsbn1uRPDhG4DDCw6Eo/bsvFpduUV5jmr
GoyMvNQtbdoy2ND450vcAwbxwZZhNn36TDcMUpfjFLDL0NWeLLCTTDIXLcRNBoC+P2NKPfCLXjpy
v5k1NrvOS1ZW6Kkeh9xfhuHk0P8exqHzKnh+IcfQhnZPigEtzUNP2bdt02Uwi6c4fD/VUVB2vOf3
VxfzPgZZXS1GwkMBNLju8QbIHRhTWvXwJio7dNuhcYN8iIF0v2QWfmeeTMgZySN0C10OQ18dAyHY
sYbxeUxl4q05fGSc43yxtPQ9f9ngbw0JbvnWguWg4eJyH5p9BRpiuWiTDA9TKvk+maIcoyr0HkIg
f2adtDcQ51G5TChgXr/u8v9/IP6zCLsfzrUgxBnxdwfin6HOfx6G37/p+2GIoKKUwiJM0siHUImn
7490Iy9BQGhMAiAPSXzlbWPAqd/jjXAYXukX8Ilx4l+B0ODP05D8hoCr8DpyCywfHTn9T07Dn6s7
inMV1XdCQ8yR0gzU7S8sn2/iyRDCxyMkdWD77cDpfahWecZ8YVr+cGn+ycl7pTt/oM++vhZYS4Jr
kWFm89dK0swEImTqD8cE3et5M84/Cx1mLw5X4Haatqz6+9e7Vqa/vB6GYjGGjmIy+GvkifKQ6iRT
gtfrIeODGUfKSi7s5p8XG4VHFAFxWEE38jEn2QTPf//iPxexXy8syEWEIgGzS64ZOD8XGZNHZjti
Ezhualk+910P+7eDYHLr/M1eLNuyFxaQf/eR/8klprhaQJmRhYR5MyybH0ubZV6EWtOkP6retw9t
Vy+f0TE0G0QgZR84cf/xC8Y+FileDqsX6Wy/5nWIK8yF4y071B4bb5JUpqWrlwwNeui9x3hW/G0n
+pb7/0/W0Nfi7KebmiAFLk6hRYF6zYL0l+bAzT7ZOLuiVaOd2lzHbA7ut20iBooW4hEK6Hs+RJEh
upLM/mUydHgZMPu5FnXcbsOVvUguiwsCDQORajAjsp5vYWjady5I/80qwHjCr4swoYgLwbMf4W7i
Yf/l/Q49wjZEv+gDxUkTPXt9QNnNzDuCibJxSksgkv56Anbiuis0QP1nPIPu4kGtOYDRjONTMyN6
oYc19YGDYorzOr4mOSHwBYkNYIfO4OT6+gSOs8NYhjL+uQ9g4cFKpJtf6mDmAhZ7A4TNBVu6k9T6
Z0g6nqp0QsYbZJDZi7/E9oE1GbizTZmRfkwhrzkMIG7WVEDkA3GjQmofYuwScQkqus0Oghjvrejq
DPj4VVY/KiZQAEHucR4f8wDwqP8Fq9Q2PPebRti7JcpM9GgHt94OpO7gsFOofiaLogClDTYC5Xo8
p9bM9sFbF/uQtRNAH8sm+apFIF83RcJjjKGuqbDGyNe0D80DmWfk6mTThu3LwrGohK/oByAc9jKq
zg/y3jD5GtaLvXiT5z/TRadlszX0A+JnguE4uMy+xlCudBFHPnC8mVF70ZHCJ5VthMG5bsYLgvdk
LwF8K1XqdKUfOo3rmG4G101F/rPOcNO2dMpe1mmjH2IvtpeGo54BF0PDnRubJS0y69UynzGqd/m2
VmvBQ13UYbPqu6a18+dOjF6TRxQfNnAIqNjPK/JkIMFBJjllCWv6I0aFpn6BLpOlulqADr6tYQi+
pBL7ablgKthWvYuwTswQRx/GOZWvNYfuzac+u82cyl5kBwcwj4YGKwNTHl4RgaC5URDDMIAqR/ug
tZNraWLMocDumeWrtQJzeHxsN4yMIfaI52BUQrhdApQbgER81hX6Yp7yUR2+Xv/ILhQMSBrBBUsg
b6dePRcTwoXOX78G/ddQ9I4I7BtbffDwWR/rZDHlyrNsBwceC7i+Ph4x5nrlASQcYzeQx4kszLyC
Cp5sml1CoOMKcSgQESDzdikR5wWgkaR52mOO8EnGA4GkykbLUAUK4nKG+i7Mh67xyXH1l8RYzI16
Q32awet4e0cQHFJOSMdhF4h4tMtrsA0yH2pkdNwGGCB6xQje+tkAtTHFKuateVidF6xvZ1z+ej8P
g9nPAbJL8o20Y+4BaAZBgXEehClQXOf5WYasxhilg7A3ZA6pF12BHBd7xGRntIMdFp4pyOACJfiB
Zc7eLHy0zzHGX4taMqjmGKs+R4C7Cugg/ruZBFMpkYCQL876915cL5e1nmaeL8zQ9+iasgjra14R
Kpg19saAlT5E6cjRPpFgBJIwbudUaf4Zipt/jiHtnoamjs+SDBmDaxq5W9S5PW649eDHbOCF9oPc
ls9ZA62yBD3CmxKLOztFDGERJZxpoON+krCXcEA4ACra6A2ixrwCgUkfBh8olOgIjQ4ThhcNvjDE
ooP1iCXlWjp/rn38Ice+bC845rCWAzbUzSH2GE7pTTV7Ny/ylfpL9tK7Gp5pwtOeYoTY2Mtma/Zi
YUWfZeTLVzdfBTwEknywY8pfBI2xYY5B+yxgvb4VCvkkmG2jiLUhUBsbTAOgHs/APWQZg0O7puNz
DCl+a8RQYtQq4js/7FN6olDcsrfbLP33vfK87bhBkEqPISTycC18OdtdCG+tPcVBGH7cuKFxBUv6
9CcupmZRHzGb+5zU9fR/QcaQCJE8YaagTcC0rEcaas+UIYy/4kd2bAiGewsmRO8wGIdMqp8hssgF
E9CWLqLfIbIh8aKPIO3w9RInlnqD5ICAfczStUFPjpGocbelI3q8gLc6gpfUerd912hcup7JfMOg
wDuXpOOhiYb0PqlDUgo8VXvguaotHHyaVwRgoBaRC01vw7XxitY3uK0IHlBV00H/r4BqcXVW6eyO
LhTpGaw+jgWgN1CYu3j+TDqR3VKGqAl0mhsWzaSxUmZO0hITatelpPkAmaYe/TO0JuylU4yRy1xk
+DkGVNc+Xursdl5xa4oOATqwp7TAe0pSDGc3MsJf1O2AJWhDnt3GncS0AQ9a7PcAbQ6uNtgHDeXz
vAc5nN4COkQ6HGh7NOc4THp0o6l9gFCPZ4muU7dPHM5xRJo2+5Bt0YfNCWz4X7fApNYgIDDgeF36
K+nqByR4wh2DOx/drlqTPcbPN4MW3Zs/DyHwsdwPFU7+YJvoh6TD+ThDGF3LnjadKhHQ0NVlB2QZ
FYNDX7P/9rZ8BAx2+6kWqCSY5+H4SsBo30ydUgfjtH1YDGrfHm5g5W/d4E7BGsQDUF/XR/YOU+ZB
WBCVja9rMMn6PqAG77rpJT7raja85KAal1wiWK8zTosYM9s9MhT41MIiSIlBJgK3UXzSLajSAoyM
e2LeSF/RP2NjdcoTt6tUFqMV/xQbjDake2JfBJPSjR45SV17vyNfKAOsuWY2x3tGldOg13oJ7Ipl
kXYKJ/mULf4z7DIcT1zZod0pcHEb3klzvaKwbgChU4djXcuU4sBU2Kqe2PWOCgGqedM9VlwHkO+M
7AV0DUtwVbhKOssreJRSRl58z8F7wnVCafkEH8LTTybGrK8smrXmdXrpWgRD4KiSAAfhDvPJNTvX
Nh73gcmhWuZ7hNVR0OsoNzqCsJ4GuG5bsK5vSkyQguiJAe0BA0ENkgQ1ObXwU8/ACkwBrQdxkRAk
Sguh9dSJTd7h9k+XMcXO0prae2e9rDl5oONAeNc4epBsdeBB7AOmTLxdp1eKzzHF5UDgfpMkAyk0
swJjR488xZYeKq53PuE+3DkfFqm103FETgNkis6/DJikGHOUISqHzd4gpQEVCYSa9nfkIdBdakZ2
yLaxh3U8GXBw47wW2BV+H9T0u9e5+8xG6xHrGoUBEMD7bJHknvbOlIb0RTy7/mA1xcwQuKYnC+Ji
J3CIlmKqAR9hMDMiS3RnAz084m7jXB5sd8LJ1++jvvVABoRLkfZxxbPuTrdgIkNcqnviJH8jvVi/
qjEIz6PpIT+FnKCAtNO+yzoMxRv4vv4FlR9sZTilv9OY0VMIt79pYGNnAizZAPeXpQdPbF8gEOGG
RDCMECRKAYxjXpF0GE52npGFhxN4zp021x2kJtghcF5hN1zEeKOnwDuCRZ3k3dx2WKR9jd2miRVW
5GYY7j2zXT0/uBYZrYVB2V3+fXd67Tp+6qKuMmCCgcEkgKKOIImf+0TI2yLDiScPEsobin4DNzFX
18L371/nL91PigRlCBU+RduPSbdrv/qj1I5sWS3GRR66ARBerpPEf55m5cF0w+jXTXwlw05ft8O/
f92/tP54XaD8FNOJMBfRKf78umjJu1CMVh6s6OIPi4fwq362nd2tCIJV1dgP7hLHNfbiyVyr3L9/
9Z+HitH74x84C4iPRpAlDIZfPrWbBdQT8J0HJAuhAQHlHDwj1HW8EcmM3X7hEv8lUqEtuVbeiPzD
5v71Lfy/YvdvFLswDq7Jev/awnr7ZV7+66VRvPnhF4tcw76/f+cfsl3yG+yp+Jr6CLMIOWv4od89
rDT4LaborhAzmPkYng6gqf0h2xH8SiAC8zKF1PezbIffhuJDYCPQhBDEG8Dq/U9kO+iDvz7BIZTB
NILg4COyC+f5zyucO8ThDYLXx7lP9M0IKAp9TSDnGyS9RWUXLah6Wh36F5SuYDI5Sn1w3GA8/fWA
OVYPDDbTyU4tmXrKUnwNOpHspUkXGOFXPhoYdjbejJYiTDXuMcpj25oeZ7YlaqeFZltBvWiNc/x2
C0RYRMgDKU3mWnC9vT1MLDoNKUY34YBwhRYr5W/8YUZHYahiRRaLd9m6vvhzx2IkTc7uzQa5u8BH
crvGeKQEUa8fEfTgn/C7KxswG8O8Vgu4PlNsHpsuSEFsbvEtviwVuWKVo/fYMCnmska61kGF03i3
rW4AvxmSt3BIzI0IiXtm0qEZV3P9EGSAqvMMoyY5tv4Ws7B93MCJEB0iU6kZ8np1/ROvMZceYEin
wPhGUyZk8m+ATLwZ25FeXSxzl0YO5123FGBnR2BTo4GM00TLU4v4igc2+uEji0Ji8zGGTrBDpDs+
cZd6G44+luXgCKIqkMbPYzd1Jd5zW4YzmA0wjX0OZDTBURC+xeCVPPhNfZugbN/7ur7n0B6QlIW5
n65MYA8UEV0jdLZ8i24XD3FA+TzEMJXiDUBlvxyydVjeRIjOEuDSNr/yTIAICeFCHO7zQHE/qL7d
0uCwCPLagEAoNT5L1bLlhQ2OnLJVvXEtaNAMht97zNm4k1/LJO8dbFHauor7Cy0RJ8wvczSEw3WK
qUPIVT+du6Hucak75OzlElF69xwjBw+IIGOlV8OWY4ibeUT9KirKMcnlNvllQUCUywe3xRWbGv6w
odc+WSgMClNLRZj69hahuAyKasxKPXjs0Q+XdyAGh4LCTDnWsWL8Zl1IZx4RIjFOHxTn83uyTvr3
RmCOLO4lvRF8Cp/aOBIl8sj0LZ3nKQZY0OOSrQh0vtMBeb/aSJ89GXhVsJIvEBjfJ+s6zkUPj/Fo
RKSR+hKSe9clPoBl5dLXlNf6ecP0LVAo1lXxxDpdbL3W/YFEyJHdsRjeE2KZ1vV9zbeRlD40S1nN
HrBhgIjKz9F2B4ifWvoKEduGPJpxQ+wqslhvgU8jrND6jj0aGTys1H9FitcrUVAzSZhVKgEcd8ji
RmZFlNST2ht4d3uC0u8tZekzZ/ILhvkYBtcw9FIpTAkeaGdMel93wKSHLG0KUcfBgWPPueAn8P9l
70y249TSrftEeFBsNtANiDpUy5bsDkO2bOpyUz/9ncjHN21n/sf3/O3sZDYy5ZAC2HzFWnNtHEvF
16pJznByxyPmvkJxM6/yRITBo3mlPLVEezec2sjveacViVb3920HABmA7i7V+vAWGAxogCarcTtZ
Q6ColHe97u1nYVGvotRp7kzsYMWhDw2Wiuzj0nNm6Wm2TVTNWnyiPr5SthVuHauKj3ERGtum7saN
dDQtMGrpPom2QPTVLedSd7RD1Kl4n7nMVENGJjs7nFHM6/O4Q025Oh3z7HmCdRMUaTOe3cTZCdbM
mzqcDRzFLOE3WZvad3FVZNtaZsNG4h73mXsKP8XVfkoziyVk3+MOFLQ9A0bUq3GwR76BdFkeG0Yc
R7tz26sJ4dWHMQriPj/3ehYFTBPxcCZR5QKYsgpwF2eJvs0E3xVUWLuP0xIuW5hG9Tm39erKyNE8
b2yhTTThrD1pQnrbco4ZRSEnVdvcwYKxHl3bjX0pGb/HtoFxYq4XME10GQDw8iz7uKSs3cXkjGdb
GOtAePhEfwKLcujjaWM7Hi5R8BKbaRmu8yWavyGYHfhfHWcX2xFmXyep+/0Uqi+AgVGjOTEb0liW
RlCZen8MixnHUBW2F+wgn3ixyN3Y5cOhXBq8LXlYIQ7vUGpLvyiS7otZ8rbZOsJRF3TO3m6IjIeI
JdkBQK9+TnQHtX/ppvvc0bDrLe1BscfZGLxgt6WDowy03HAw21I/6iDL/NDL4qMcxbRlFaOfMSzA
hV/tc6rWzUvvGN55Kp1ki2zvPpTL7DsqcvZj7SkXpXXyrU/mvkK77ApUmZy9o4EKEopCc2xw4Syb
NMqAF07WbWtUZHtM5uzbPKJX+KOT60SfMJHkjFHnJfMCm732ic4y3I19c54KrKQ6mttXkPkgP4t6
3KZ5Xl86y4o2Sy/iY7t4n12vK46R3b42XtRv+2z8XBSi3+rGbGz7nteN0cZHF0P6oR9zKyhC93ow
wnss0RYNIYYStx/sO2Spxa7V1HU0p/c94KO7MU5vJ77XUzjZ1Pd6fh05xbKbZObxasS0qm/koOTO
XlQbMCuMSiZpPb59Mc3vRTbPm7Hne71H4B7J05KC5ruaFevCrcmbs92YyURr2+n4eOKNGKsZdl7p
Lvo2Rnm/PBSJ7mnP4GGnOUgcx12CxEbfx7SvRFCBASnPEeYDq5rpQ5IH22llGmCDpZShLRLg2wyE
MxUbrw0787RajZ/F17mCgkwywNJgEzG1OKiZ5T1ZdT89FeghT3RYBh1WqfbNzBoBUxOETd+YMzgL
Mhs5+vOS72CIO+zSOuqeghPTzTT5MqduGiBKStmmeL21sU2nuHeXPjlBdFUBS9St43jjjj0RA1Oz
1/aqG+1bNbvNDsGHwdwP1CMeP47XDKZeC9aOrIlYj6IPyGaw7DNXQwufKYqOwoJi3C5iQG1k92DM
e2Pc8HZbwOuJ2jq3dV/E285sa0NtEL577oY3l76zFe+2jTvHbsoMuE82C2u+E3uxMgoWVw39UY/n
/pzHmXbUmkZS+IXEKGx0mKI3oOIk7PhuaZJdZjcePkVvwUdp9QBvUTB8VAD7jGBK9fTOxTl0n3rp
iIRcogutDM/eqyScdq2ry8NixHhVmgyCyEafWwefTjt3T8A8vSBUnnGB7MpkNufiPy9WInZS2Xsg
YD3WlAXTyMYtMYw3xAj4qrKGQ4TDATVNAkPUgtCHrVgyjKMCanK/kKZ7FInQnzAOp35UM7Two95y
Mxz/ohy4XTqdCXPXPXN4L1uLL+lcecDXnAyXJivFYsMVDUG0QYucNh4ol+1IazozMLQxYHQSg5HA
AHJT4nwyfJnFLFfs+Kq2RzD4Y9ExknPsIzE3NZZr8Fl3Km/7bAtkJ9+LUrZbIB3WyUV5OgQsH+fX
CTDAJ2buyXukM845FAigfdQtzkUhQJMBdrjIu8IsZWFrcJ67wlJPc0hjKCNboFlZIh/prX5szXlB
BYXs6aNVi2H02egAM8dLwLvE9K6INZm/mrhe/Q4c6wvnaXICZ2Zs50bIZwjDavaztnDCnYbU3g06
fTGZ4hTtDhCGdd9DYNnaEvtJNTvZNhOJt/emot+ChhnO0HzH61lF4z1SU4Y9+JMgysLDAAMTv+Dn
nBo8NJXYGUnVyU3NqHfbmEPnFxUjPSvsmi07CbkzB915NUtzutQqYePQLPVDPRIC4nOep9+qzlCP
XqlDwDD0PApsMNKnao7CExkx+knHpA6z1m7OehPJO2vpRp9tfnVkKscHrFAm9q/1di4dg9pfl1vb
Dnu/croYBEFelLtR1vY+hTNxnHRq8drLx0e2g9ZO09ttBw7gJola2PdpMVxDnTPPHBJDwAPIw+IM
MCQYlZJS0yZ+rDU11tdUbmdhFAiYhrnZVJB9qRhEeq4TahSYWg0FVJd/iTNpLwcHK+M2aXr5beiq
8RVBE77DOvemq8E0J2s3Yg7Y/bf/f8s1+2P/D0npb/v/5LfU3e+9/9tP/dX7u/IdB5hp0/jbq1bl
X4Fk8HbfMdBit4pU1RXOL/pV5x14M2Y16C9WlpPFr/GTgBWhDjg7iQrAZXTwj3r/Xzp/hNiwCVfy
uSAeh+nd7zM1wGoYa+1YnulrWgJFEHrYRtkelnlmxN21yv4Df2sdJfxrWPj9AxmG6Ih2bN0lXOHX
UUPGX12bdWGfLRsUgjGMxCZ4bA4kA+RDxJvnD0y+X0cbf32ekHxf6JwITfhtOOmlkpaGbI6zU8Xy
JfX4ACtNjUdlD8n+p2v/H+Qkv84J3z6KS821Rrmig8P47U9rY0b1fWaIc1aw00+ctD3YHWFl7Fkj
ZEILKh0nS43r/8No9D/8ld810qDN4Nf/PsAZG04OXWvFWZmpOJYuTDW2xCWKEADqfwwK+tVc8PaH
cgeid6aIh/u1PiM/D2JhNjAnmhJxxi3NBzn1umbFyIoKY+gcXrSlldbxCVGpgsnUAlZ4RgzBemdC
WOrrFOz/CCK3/kLMwlbBmWs4hC39nqyHAhOjXBSK83clhFc0yR6vLv/x//dZBi8Ty+AW5sb57YaK
GP3k8TwLRNssh3vBQo3eGpHHKir5+xtq/R5/fVYQqAvmcjacQ1e3fxNgJV3N9qDqxXkI42/KRADS
m4X2h/nyv986fIg0CTnkvzmlfruYOmMHpzNzcV6wXJ1TF2cNgx46EGPJmLL//V/0G7Tx+5VCKWdg
phF8hb/L9tzQMshdMaxzaiZZESAtrs5GqK16tlYhwkFo9CLkzEOKr+se9Zd1BJ1gHf/wa/z7HSx1
BmUI9nlUUfWtj/JPq4SQ+JEwlJk4T4jHT1ZWMrlrQs+91JriDsVWDts1M1kBzgC4kcKsD69NubHn
BGkPf//b/KcrIPChEa7HlWbT8Osvk+Xomoqs5uFdxTy6DoJhLPvqLGoy4/75R7HFQESKjJD8mN/u
qKl226p1GuucQPm4B1zPI6vlE0e9K7kSf/9hvx71HN9CoFJzVskVH/dvt28dd1XOql87hWhzgC/B
ZvlYWjnSq5G99oD30/3DvbwaTH56YtaPJOOHoEJm7esF/l1BWGeIE0CteCfAEskefyjLIdWq6V6O
GroiFXJdLfKJbml4zMc3TVUxdWgNtZLlNxlazWFpeP29nSAIXnC8zpiRl02ItIjVsFH96Uuy316x
/3rKbV78ziq8tVfNI3uD39dnpTulYqKBO6lcL3aEFi67KpEajHgF+AFo+QxXKM/TFgxfldaz3Br8
Y3cti68C+j4kCmayIRcSfGL3urDTfQUzx63rxcu64Se1LQ5Wm/awsY2RnoBWQbw0hMnc57JpD3rK
j0Gps9A48nOBSk3rOJqwjzrGrmc3EtapTfkCEdWk822U5Mj9sDJ7H7ol1lIf0V5j4OK2+afREbWI
CDzUkX7eJqA3oj6x5D4vGz4Dd+RZwvK6xaih6xsxIDgDhVvD9I4r7pDvShsq7WWvoWmVpxHxwxmA
SoEkoTVQVr2JUDMwxpAmWFCcyC2d7yF+ovEzO23YLCzDkk8Gdn9UGIsladhGTH4fmrzi3oOu8ZJB
h2A5wEz6ZTY89arAnfGGHgb7BQK5+aVeQrxxjdPct5IlsD0SwACiDG8G5y/WnNGzeaEySzEeNRYD
Zzhj7oVVu+Zbk+AbDVH2zcJM9iHM9lekAG6AEd547AAxI3waQ+deqWj5YA4IlGpv1dYVEskdcCX1
mmHMMzcSk8t2UfB1fHeV2PW4zuQGd7F1REzEv1Kks/G4dHxvgslM8/2NCtwWQaYinYcNDSD5NVCt
Y0/sONzZ5AyAF2NRuTineC1MNCh/31V8GASne2Kr5LSF2YFOkSbUuCbehruGqSnqEEnyDj6LtGb8
Ua2YvkEPEYbU63mp4XJEWCgG5CkmOJXGJ5sgAwK1Ck1kFfP8VXo0R9s3dWmsFau6xC7QL4YVqROB
MwveN10WsjiG5MK9PKSa90HpIf+su6orGWwigjGAtGxIYVrTNiEFmJsOz6/l11a0XC0OQ0b81YX9
MlTIWWTceyYbixbGFyFO7QOkLvOwLGPkBGYkxadyGMpHd0nmK/ybecCkvDI2qZYbLq2n3p6SHN8p
eBA+RuUThvByqfpAV6F8zMmhIudBumW2cbDpXLs6Q8JCEOSHTd3zVlc3I3XWWf5cLvNjRgTgtq/i
uj4xLEiojJgGoOdT5V1XKxQ6adgXXyu85d9csVRHpkT9NYbOvvRn+COMxTNOJn/JObjoUpFHYHiv
n2WetWqn7Fl+mRbHCFCclJdKIVDcrYRYYk76OgnwxJT7oeqra481xQgIT8WfIlIONg5r9KuZZnrf
lDNiyLlzmj3GZ/kRjVJHM18vnyQrsxM2ZHYn0yiWT2XeZPTC5uIrRppt4Ib24GfZWH5K2U51kE9i
FWTQTPZrMcoEZ2qUGbRtoW0bakAM5SAfC9fs1oOJbEggF/cIebQjtn2QpG2sdrPdz1/hEozbWEs0
zGdV8Zxkg/ABdHWbulwRPWgLN4wPXvCt8XwkixaAvY39fmiNHXAd/iFXuxZTrHP8WyHW9ay1mEKt
S/yq87N15WFvWma7MJW48vV4odJ1DxgxZjsoUcCxQwz5IAEuLhA9S1GX5A8/ZwcQACBjdVNU/fs6
k6AOSEzZ9eyr/DLWv+SOqp69HHF04hnTTmmhRSAFvwd28+KOt9KSceGX+CJFQ6xepHNFnchML5Xj
lbd618OJUeyqfE1Skb3MmNSvNTPlkVCrinhb1R3SaUlWAZMsa0LdwWnbwYtYBdrV4hmPs75wy+rd
gMyNpMZo6/YMfYDUxxOgBGDUiPOcEKUi6Q7Vx9AQ0y14WM1/05V1rF5cliU2wtAc/P/5u+BZNyaU
w1nScQS9SdHeRL3aRB+FkJYSTrI4fRxqsRLKYrs5iEmk08E2svpjjTiYX80Z1vVxXuYfzaqJqOdQ
WyE/q1bJKLlOdfGJOaFbf5vrQSBodmAg5E6n4BGJ8StisiaCXaHZT54MvWMbe+oAYY4ZcQl2i40Z
dIPPACpeUnhGW1ska9LBzPHxnLM30x6Spa6sA5lpjLlbBDASLMM2HsfmkGpy2cGjq98vXgQDDw/x
+J6dcnEvo/qbmS/PE1r8m6wzuwPnqkP4n9dCFOhr8zVChvq6JMn4EIHkqm954tNtg/LUA9TpjLD1
4mR1JOKqPkk7UZBYSZwDj4D4lBFazxTs0HmTfhZNNV81iuGZBBSNObvIeva3XAXYXcwTPmglxrvt
ZHT51dS24mYhAfamMUR/XyQuKUeVwRplAOXCINb6XHlyAIlXM5azQzNB2u9aOHFi5lFjvxCzUjQ5
xwUkxCAtXHGax+FzWGvjw9hF2Z3R9/oVDmf7UwbLkrQEFPkrlNVA+jhb0bUn5uSqZdd10rzRwz0w
ROrFTMb6DNPa25aJ3Z+RCGnhRnSqaPcGR95Oo5gdAsiHZkhAUegww85L61FmdU3kEAbJOonDiz73
y10X62R6DdH4sc+7hp2FUiI5Qa+bbN8FHociL4Syfy0nfaz3XtyrA12udklBA74nUMgkwQJ8cblO
enWyQbh5rkfe8N+MoVFXfV0P+4kX4blMVZEHtReHbB8N2ouYw22fwXxAdUhlAb1mcIa7yIR+uinT
EHGh4sj7mE0EZrZzbl+mxOQYRQXgdQD+h3IMzKLtQxax4DY7+EAwCrzGcLdu7ggORGP8WpmyD3ee
1iy7qI7EUQhoxviCl4PqneReAap+3xuz+uDms9gOBLj4S7pqGTEGbYQex+tCLXXIdhmdxDcAar8C
SOU91JEu7YfakOQBwDQq64U+BfOgA76pCpMbU3em93o7alc2uKRok1iNtXM1CyRNiS591yjHho5m
Jp7a99y730Jy4p9q1+q+oDlyXkdJyPROhxGlfJWT6+ITkgoGiIzc6tuyjv+Jjlvm/uB09TcoDdGt
SgvMvEuiupM1TjHwzgoTbTwlDWAZp21Xdkx7o+VjujXXhOCAsDDvFC3zNIE3rZx4Y/eic88ZUA08
sc7wHMsZIbsTLemN7oSODtepzG9KLwedySRYu4s1i6tGqK0hDizG8qlHvd1MofivFuq72/APs1BT
MOz5qf/7Nzv/Tfs1qsqfjfx//chfg1Ac8u/wdQGZNnnF0h/Qu/0w8pvinU1XCjocixtSNzRwP0RQ
8p3JhJSfw3gHLcikef4xCDXeMdMTDEfJYidhW/9HIijL/K1dxSewShgZ0+qmxbTF/L0NV/2Sjb2X
3KYZUUGebxk6C4k2ykgMC2sh7kh3atW+yvWy3YWhxwZrM0JI9LNwqMbpurFAQlGaYCRDqZ5xoscu
2dbTk41xI9NZA7WIAoYyO0RLqY+3Xd7or4Vej/T7jioTFyhdzGbaZIvC262Kzcwd9pUnKJ7JRMCs
XhrfLBTpHJGKtENt1RpOuKdPTiYaHrFo8afOye9tOp49WpAlsLxcvwEcByGdwrMn1RFvFVVIXrfg
SyyhvQcg/9mdJGpTXmBUp55zLeMhOSbLkl4mFjhHZ7D7T2Pam1uh15z5bSnj+9Zxs5jt5jSjxiA3
J6jNsWi3Vs1fzP546WBgNnkd4ICIz02YAesDSd9Fo/ycjEP3Hs1GnF7bPLiBSmrnJml1hMlzMsWJ
n8uZrCrcDLhavAkqrdK7ZH5w7A4HCFdifg5nzNea7g0AC6YwegA6gvpJkWmJNYBf/5gQ+Xtexml6
Rmxr2HspJv0Yldaw9SRHj08cVmHsnE6uipTEqp/mdoLWTUyS8hFRFSdNlbyJNNute5/oAvfGzUYH
alUuuCXSJTHxikyxWoIUnU8bUBzMH1lDNvKWvwR6JWy7YgpgYuFH13trS2VOn6el8TdAKzgToiQ7
IOwi6zOCz2o3SR/QJDh3zSLA/ZYx2g7iW6o74BDtaa7gk+pFY9zBZh23kPJQ3wtnplhobfmK9IAl
Kw8N0aoGkNN4rooYCzhxjCQTl1p9EZGezld62aOFOJnY0Nzap41VrrvlixA1GJYYm7nIcLUflzIx
BAveZGaBHzMSgVBQKFwEIVOyhLxRhnpQYw1hkVe08O3dUcys2B1jcB6Q8ic0ddrk1R8wOTjNBia9
jouT2g3JABIY2uRpZfaY6KtOhM62GCPqKH4tGmdGGJeThr0hUbrQLoPNfAYi+gTaVHOTy1B28VmG
5fhCvS9rwFNjv53xDszHKZqRpSuAc1A2Cd2LD8xFzOqAeDI3CLCaO8MfYTx3B53lJUF1SXKbTJhn
/bgZwE9WbVjwZIeuQ3hyPSfwktIKpHId1sNwgb/WQ2vV6DcqOAZWUA/FYPg6eR7IObTSi27xhiXK
b4u+cK4mIlOuc2WvoVpOH8QR6jPuOKENfuqgqYEgkFxrVZUPu4G2l3edocuW/as7PptUiuRKTk10
ErrChNSly53Xa1+0xSt5phgHT75L32lfd8Byll3XxPRrUT9Xz1NY6YJdfh8/goE3qz35Bi0odX31
oXgauKUDJ9H8IIi+ZNsJNRkLBWANpjN6bI5HJ6UQsqq6/TZis7J7/AsW3SxBiZk51Icxg06FL3Oe
ArfWDMbfCloB0T538Jx4HsEgpRA/Ik4zu0fbns1NCqrWck+p5iJEdJnATZfJGJm2WaDjAj4p27tu
qLa5EUGnTbhWFaXRkgJrENadBnRh2Fnk4QXSS81zJUtva7mMB7ZaQuYuQ43JeKwXKHe6lZtc50xE
6ee2caC9o5R6T87n8FHpE+y+thKCZw1sU4DY3gKJJgFWIeOjtSTfW21lrKL2zP8BDZ6hAVlEryHr
mQW6u6AqF0qzQbTMuN9rfZMygqCi7WG4mkqCWLFlG1EoDvVw0JrWqrZ0fCOo9gqItbiC+967KBTC
/NGYI+vDMC5Pglu42yRqWodCpW4epDs6d3QKRhB14Rx0Zky6h1dC7SwX+Ca5Rq6sX03jdF+GSlzn
hYkgtmhxo1+NbYVAtVtkunebynpuuuk5mibSLKnbmFoaSZi7mAD1DifOkE79VQE57nqZDXWPbwEI
XcX7K7ozJuw4uGdFPi/zobCcjgmHL1ADhCdgk6N7LdzM+O9u+f9UT5EGZGJw+BttOcd0UkY/F1R/
/cyPgmrFH9ksUyT7ZVY3qz//R0FlGPxPzs/4ox/11MqCoMD5UTKtUvQf9ZS+1lPOCj+BGsZ+wPwn
i+Vfd1esdnWbM80igACbOprydenx84alh9Vsh8143RevkcqDOP/807fxH7atv7lB/u0D1nLupw9o
Jysv6okPcCGhxy4eVO8lGa7B7ENe/fuPeluL/DSiZ61IaUrxaSFrsoX9+4aGB8XIbcaOV6mds8tg
1KdBioId7rlm1tifVDpF7peYF0in73VcztpCECtJLuVJt5CZFK/Vdx5OhEhP95x92Eb6ntFD/zVh
gJgUl77liBFnnc79mCsvJRrBxWOMqUWrwse56QiWSOwTSAbjNkXdnDCQDaFJ+uhgoo1rtTb82UGS
dEdNankdLN2iibOHxjOjgQRldE0O864V4bdJsIIpyKnmqWX4/X6echReYdPDhhrmfNwVdJJWcXbA
EAX2JFHYQDgeP2mVjlFSizBisTQjQNShor4RmlMv57TzYu1hBO8uyq01kNYKTKfL0m4KcR62ifq+
av+vI+UPXRjuDPdvT41jNSLI+Bc/5q8f+OvI8PR3xmryYKfMxul/jwtPvkP9IdkCM+pEnLGuzX6c
F9Y7W2fLTwmN/4if4zn/13mBbcSjVVolAG/ylX9AUuNo+HV3R3iexQ2Dj1mAtsAgbf36QM9F1w0I
a92T3hRAElNVB2NmZveTZWevRTksxzHshOPjZI3AjlLsX1tW0X5EzKbqTego7ZaMQ97GcT0PtwJ1
4IdsMREFNAxFvsRdkkZHkkWa0IcjxbCgAXG+68G1bvHHOR9muxvvkJxbiglPkYenOHXz12GY7cvQ
9O6HeOJNSevUctR0HJ6gvqup8DtrPMYefdJgD/kWbmfTbyhUbEb9hSVfUW3kXxGRs07Il2vAzcNT
lzTiPgu1fsEVUYffQDIXN5H2lnURl8BOk/TjAv38RYTR8DRFUFPNWcXfNMuqKRYiGy56Ozm3tYTj
FUyzpW5TO5pYgxDPgRpRzN8gdGt3VZmigaSbia4HzSR+QNSO3EQoEhMEopa4mHGaEWBB2I3HhL+P
X5Y6Kg/QrtUWY2780WDkN+GPKNw9EyLLQWYq84fZiOOb3u6PNouF6ECeSkSz6bknpAXDXscnZwVL
UcgHbIgL4h5is5zNPMfg3irD7JfVEm1EAUhR73Wmxa792cVo4Mf50J+l13KkhVlz6sMs3abKkMuq
CZR+3kzeuYWFv6H6lSUKzJp6ZK68ZBeSeXI/OMWqH4qrQwYt5zMEGbfzvaTIK18ssn5o8rE7saYG
obCOi6q3yZG2DpGMt3mSu46WOBmZMkU2A6d8HT3JtymU8TaRYsLFdCpcB1Uc/cysooLxVb4OsiA6
tD7iTKZblqybQLzNvOgIulP3NgmT61DMZTqm3uZk+tvMTFvHZ8Se5GJDFmSOY1ws3RdocVI7hKGb
fwj7KT0OFnl3sCJS61iXcnipWVaQNNQO1M/M7ry3MV66TvSMymO4NyXGeLN0gFo+NHoG2+ZuoXmq
cgzZWtftHWNI7kewfbdYUGcjf+XqmiNYh6JN+G4nUcaauuhEq1XJNTypIoSrDeOuMKDdGaIbPo72
KI/uysKLXD4jVA3UP6jRKy9vfEPnocEeykNYGvWOl1fBABXK3kA5hJQd8p4qsoLHew0WqVq/Xvl8
zkrqQx5R0SgzJG86I9yR+MDsD2nKNlkpfxTYmKgB/5kdBEAou85mqsS9LrxDDob/sqy8wHklB04r
Q1C+4QT7aUULDitlsMQ3OcEpIZRAs9l2BmolElormxCcYXdifItBJp2dozV546VfaYbjyjVs7L6n
ki+Wht11Q3DMSkCcjRIYYrJyEWW6svc8dbfEPJgZAlRiSN+vaVhI2rJXBBciwC/PQCdJ1aPWQ/vN
gVv7aiUyJpNtPLRvmEZ3JTZ6Cnaj/kZxXHmO6Up2HFbG4wDs0QL6yMI496NlFTez1UgBQ8qVEFms
rEjqgdJP3wCSk8rdQ7vIAqcdfEkNIPgj6gN0ACt90lk5lGYuIVKaqXkvayiVHE8ZKlTIlbzWi62E
ZwPORKj+yvYyfdtMKWaqwl6emIGIZ6egNogzYs6nOo5PTt85j47D9L8eZY4kOlKcKU7F2bGhCtS+
4FpgQcpYY7nRiTbYUPimt8vA2ZhFtXuoFiEOPRDAC9EPHmh6FU270Fx6vwP97I/KjshSy5rrAgf0
3mkLRsOt+aKTir2BGTLsphBnBST3bltgccp4DMv4bkS2vg0XC3+UjHK+bRN6ZQuo1/O+JIw31rqJ
yGEuQjf5caiVF6jz6iZVLlAWchq3zOqWfdGBddTdugwQShHeoNzimTrKvY2x3s5+xOV/Tl2MfXav
XdvZVN4YQ58EEJj0R9Mz829qFt1Hx4jEg0Pawl3TxNF2Nhp9l9eivxqYlR1TXZBolWcaC1bXzDl0
46R/SIRVndxYWS/0y/PBsprxQphneeXCBTlMmm3cKFQXDP2anqdqnB8io5AuxamRXLME7C66Fw5E
g+ThQY9p5YZUZQGZZxyZeXSD+iE9JKGW3LIzcYi/GFzwCpz5gZV2yBDCLl5OxL5Bzs7S4jox8/B9
XC5jjK/FVp/mBAUXgehDcjHRhR+Uyc6NKdD0GUAVqwurXh6twTIZoqQsC/I8wfCPWOB9E43mZYkJ
alzG1eDIvCblfmvie1v2xgP1qrlbELoE89h0BODOXfxUN7W6tRbAUrGqQrry9bTnjT69xFmTP1ox
7p9NL41pOwL9RxAhFoYtfXdisX7HYI7Upai1DCT9ekOIjbmZ5UhM5TN0qbw8VJPTJk/CBg/T+V0l
e95Eme6mN0sVD4QwESa47Q2cSrM1QDWt9Wl5xa6JnTBDDUG2PJsUgN0IbNo1fSfCMrEfdQIIAR3s
E/CsW25SAI0xfVBflvkdMyYq9NI59ZFWBzj//zKN/7c+/mN97BjUjf/vrvr4+hJXvxbIbz/xo6de
G2cml1ws5IGQqll5/G9P7byjATRswTrijbz4o0T23qHJ83Td/A5eXDWNP0rkdUVBovK6UeDAZIHx
T1pqiurfSuT1X4DiKGnsoStDUP+1RM4MujTbCeW1HQvtGIXl1JxJW8DfqbnIF0COTmaRWeUJqDil
Gtpj2/uMiPVrXC32A/4Vy/axaDxKnpSnzNGSM2XdRLSDCQIffYXkvPbQS1eBRk4Ir7XcjBoi7tiW
v9fLJtSYcb31hplHSzcMeZoydI5J0ABP4+4SIhSOBTol30n7BiTXWucVuQjgN5LZmbAC3qZefwfF
ZIV96GN4ya26vqje7PazHJoTC/bxlRCjTwKJ0KvwlP4xHyuHnjqpP7G60H1hFxLahXqxULTx97rx
zCzebJn3z/F0wMghdlwo7bpMtXAKHNDqMf09RvH2eysMk9koBpxPedfjORvTGy2Ozadhni6it2qm
ZZSkirjY+1mRedBh/gJprz/lduK9n+xpvpnKydrXpvc0TaSYDToZxdZQ3IlUQ/3Qt+Z1WxTtsUd9
QnGdJJeC9dDRlnFyRdTri9dRUfBd11sbM+iZEsPbQ6MZPqvMCY8zYU47CuT8KzSkdrukLtw7iKDk
LqiWgbaZfO17E4PQmEzPtuFitYlobDZN7UYAV3L3k2niJLKddM0mqJ6KpHgCRpxclQSgsVsdcUiT
YbElbYj4lSxxfLsGJLxxSIMkgKIYbAO3vlc8OAugnU2ox/VxvSPfNwPWPtcI8c+jtSbN2uyxksaO
0/Hbk/SJiXIgY3Kw5BzUOe0E2RJGdC8yI7slZmC5CceYIn8RzSW2TE1tsDrafArDUs9hRS7SnDjf
QrOSh1Gq/GLD3L3AIrOueImmO8n74nZsyR8tlSLHyhU5/F0dOEufafU3Dy0KJOhRGPvCScdLu4TJ
YWLFcelCd6k2kxyjVwIRNT+va/sQQ+4FlNTXztlABVBtiAXSr0es6RvZegvO8BLsod/QYWHMV/0H
a5rRrDQWwSaZlTUzcECHYBRSpYmXM23Iwyx3KBJN7wzUaUrxpwokXENTtRi+pkvS8Es5jaxPZKuo
91FL6PCGuXr8reoXSNVu7h2cJJOX1tZe5YKV0iIWC2ttGMmN1Wqjye4/YnlSW/XOSUGGJcOcbYbW
OddhmdySJxnv8sjWPw/SyFccsvxCstxyWiZ2O74cUHqNLYqF1ujGZ6/6H/bOpLttJNvW/+WNH2qh
bwZvQoIESfW9rAmWbEuBHoEu0Pz6+8FV91Zadlkr3/gOMlc2skCiCZw4Z+9v2xYv/dgLaQPGe8I5
ArGt8nE+q2n9w7vxYwoP7I0Sd6iW7ObBXK4pC+vdsmb3uC5sNnK7zWOHXhTcENlBfjEOj07i1Ddp
WpF5m6GIJGtLpGeatOaNA7kSy3PAV3IpQBhyFgG2d29sVkbkzOZEZdFE4xtMtr88EIM1bRQIMvzC
0LiSYOaS9HZ8kZAeee3yJjZiv71P8VneEvV7aJGRXI2Djoph8k7OwGNNIJs5HdO4HA/+6NbXWYnr
3hgNXPFwRec7IuHkBcWieW+aTfaS6kYTaisFYBjbkf0NmpRjRavubsoacxtg0gfcoF+UnrbTq3q8
EeRvnM8o37YsnvplR9wW5tKKXKIytVgU2DMJa9SPS2N8N0YHCJ7dVEfTUOaR7DB3kxodxXklzXy9
yFFrxiRSp/Kedho5IrNp9XdLkMxvDIglmApvZqRV2jfe3NB/Y1AMos0yE1SPTh6h9ZIhXkrSmMyl
P0uTYXqoCt3eN7ISW9dX7oU+VRojYhaiQBD6GeeB/8Wq10EZWomtNhW4/e1+1qCsOe4XXoLLAXCw
9mZkjUZzILEYrNrDewZuC2JgWt9CNzC2ksClVVf2KpaSwA4suOCZFNsK1Wls7eIm+WIuoj9vy+K2
q+vhxBywYtPVyjOzEP31Ujn1fpz85Vo30uCqIyer2fTwQHa2cNuotOt0i9TNDztG4eFAWMObmCuF
bm76hrRulR+iZ9vE+ZhsW9fRzhNtnYTjs3ySU5BubUMut0xWAnKvavfLQFAPAA5XhiR+FEcjzacL
9u4aC5ZAc++k9kteQOvwvSa9NOKqIhOqNl4hFtrh1C8PMTFxWxP06cFRLhtLhE7OHQPmKZT64h/J
lL0lP+NI9aDThwGzskPzyQWuANCGXqpuRuTJT9rklFs2kUjL2aVcZ0UHWkSjKn7UhducAqvxTsJP
5I90nuDAuqltu14/72BR3S7LcE0xSXBKoQMB4IRtHe69ezDl5SkmmphHAvFPYFTn7oJ2EVbmbT4H
3GpMifyNZTFFsivhH1JQWHugI8Wuo7zd6n58DvY8j2q3w4GvZwDSF50tsCztIw9Ush/KmhgVbK4b
cyqI9PXj8hyXOcv3GI+vSarLSFO6e7aozvtmeEXxFUMHO6Kuvems0rlbfPuBALjuMkcvfk6Z7h0R
CS+Rj35u19ByeejKZDg5bvlKKnJ/TDJP7HH01pEaZrRcS0H3aiLI60ScGCo8NNmw+qr6GoId00Xe
XArL5Y0hpPkFydl4HvBWTjaWEasnkLHaoViUc17KNDvRSd/XFgQ5RvVXIDseJw3cie6XBYgMKwYD
qYp7ULsyGnq/uZI+4+Opk9Zeb+I3PxcsgUy80csGAEsp6g9dXSzniW2PZxIV/LMKVo1qB6xMLgXt
IGyb7w7blARiP9KAzLvLYz5Cb+Q9KhP83W5mXShW1Z1MjBfGe9qmrO3kKpP1eTFq88W0kkzQaz4g
wa1OTWbZOxvqQpSihtynUx6/tCTsRPaUti+TVtHlCwbs2MpUR5Irhz20w5cRzAfUCnQPgu4Bo9Jy
V9Dz0wYiDNuZTEzPz5ZTwI7ay0VB8hWOObrGGxB8xDIXtdgiTgEcqnvFA8rJ6o6iKj+rGp9XvWPE
3iYdYUBc1dhvo8AT8rIQ9r50LRn5k95ejHQvwgqZZER6IzaHxBTnXsZEt6WhchBxljqs+Jl73Thy
OoJuNPZkKyEWzzJnO9rjCzK+DC1p68hoJK/qChVcts2d1jjVxCvtEb1Mr4NP32zTNQtFCln1DqpT
QVIYNBw7dOpl+lZBPnxxkcvplLmvpUDiywd5Z27f7DPSkWtU21p7nDvdJwI3B/2xkGC09RpMurS/
8upC4q3YWrnt7kbFhIUoMPE97lsztNka80oDu0YjQkdSn2dX1L3bPtWL/WgiNdVjyRuU5OLTalPY
8hKWYeLDTAEkq79jHoU4MhdqM/RjHdYuubFo2tsNpUe764r8xkFBDMwAz/lZHJML21RmdtS51C9o
QMXBnGKIJtWAYBgfZX5qO/R6gnZe2IzEqm4a+pzPTQJ/cW9gP8c4r994khfSZpxFdmmMvfFtkl5x
tUz0tXVlFlsrzs19XIFyNO78KR6yOIwVEfXf0qFUqBJpWQXlPUqYPCe21fHXOGZYuvX9OCvOWo0T
RdOYklVUypusdQ3CRxDskgtcjZkTOgHhYIhDRBUCuMvocol5epOuTL6PAZ+QGsF55s/UL5oYY0gJ
Sh6R9gIvMZQ/Icj309Og/Oaikfx03bkkyvLkWfnc7jmidoEgvwkHMZtgRR1Zb4Scqu9trNNATCf/
iCsOvczIZu7SG9z7JcGK0LRIamxMNfFm8RZ5Fq+SG2cJ2tu2bKxNtgpyNObnN/qYJKFroURGqjUO
B7vo/XU1mEOqPpM2CyWMOXblRqxiH3KtoVMUjnmmV519alc9UAqcHH0oGiHHnUuyzTSOp+eyfphS
ZT91TN0m8E8SaTLcLfLudbKoyUzNbkccXmg3+plubHwlMp/TqmMBv5vGQIQKrm687YdFvwBTSIha
3xGJZiH13nQkbA80sSWKJt7C2YZKazjSZqdGho1TniYiUe6FX/RfekpP9kydusTIIO5o/XV7fz3Z
hC9mkQYTE90DSpxLLVZju6kr6N7uIPXjnHXNXRyXeh+mNT86LIFDnFtb3faCTG3RGM1jm7TGsyH9
5rmqxWNcevq5bRImskEZpx2wCMthA9+ZqFWln3lBKe9UMnVVGCP79C6GKbFvqqR59Za2QIu0TOjl
tETHxTbqvPbTRaAm0+GBXeXFXDxlusweCAWM6XcGhoDqbpgRW6H+IW8Hen34EbfStMVZVwrJWEdU
+4wkEzTbLals+IAc0A4N6j2gCI0ZxokzfgUwpFPxaw7jolUG1/xQxCFITW9b3PobvVnIylWrbq7z
ASiY3hIcx1VQl6zSOmcV2ZWr3K5YhXdARbiZ0OIVfr08JMJew9IYHdHJnFk0dDwGTzlLBT14Nero
gr3lSptR+BWDjKN+Tb+r1jrJWriv4ID0GxqM4hSvEkFJ5btN06A+oGQ2COExIKpzGilkDac9B1wE
QqgifY0VTOwCOAzob7sU2NZz3Y9+eWXkWWftihlj4UXzQ6KIoB/owJC43ar2sd3luzavkkYj0LKD
i8qLX6i0+amvJjndL6OW8X7Veja8/fWgd5Zn7obBMz2Cqa12Gs84Ja3v72vRJO7W6owaxMj/LaE/
J3avTZeLmMAPeQ3um3J6/Ev75zcygo+WwR86Aty1Dpg99KXOOvv8q45ANtOYFZYxXgqtc0JM+8Qo
ERPvTeVR833IGi9maUUqW22izl6z272TGDuUYhdyWHZd3SPI06IA1VKO6/jPH24VSfykO0BE8UPc
gYEdCaz5wZtbGqoBqWqOl1K2l56kVowPaBz+/kEMNBpYNJm8eh9PgMOQnk0vaI7U1DfrX65W7CFp
7H8c5n9bkp+1JOlCoMz5zy3JfVGTsv7z1P6ff+ZfTUlf/we/QkcGiGrH5Eb9d1PS92BEMrBHVg2q
YbWR/s/k3qKTqeNRB61G05CB+r8n96vcmm0OaSJM8FzTDf5W6ssHzy1A1HVuD87BIYDB0pEN/fQA
iXFi8yPr4UDnSfTbIsc8vcXZGaz9tAAfmNNW57k7pKh3k0/hsx8eEcTapByuXmaSYBz3Fyc3aeVL
oNBJRuNgqp03g+o1GFWEs5eWh79clt8sFb89FAhKxFFE0qF6+PmLthYmOqN0+sg2MBejOBw30Owk
mkR6B3//UJzKAIEFhAVUET8fiilKDovIprc2TWk0WUsTwiPKCXf2hk+88B9kFz9OIIE9uq1D3LCc
j478STGtKRxOYJAiolazeVO1wGUmRVJbFZNAV1urNx5ptdTt+hPD9rqA/WWB+9fBLdQj3MUI5j98
zx7IfmxJ5tJaTbfRyKZkVxm0CP/u2XQQyJkeMhXkJb734Sid8K1ONfEQtYHtAqo0CRPYOFPjqV0m
y0/5GB+69Hwpx0QwRtOfxqzufuSAOI0ycRz2QyRmNJ5MSd88y3zHb1hujKJEwoyA7M9f8NfT6Jgm
fVBowcwF9I8W8jjJsxE1wRBl9OK2VRwUXKyg3v35KOtp+vlicRSmH0iQwLc4HyV9NjhFrJr5EFk0
H+Fga+e8Mq9muvq0Q6Fz/flovzuLfz3ah4vm2rpohFMMNJNGg9gNQIsK8ZqkS7GpAyqsNs+//vmQ
JgvpL9+QfZbroI8MuCE/LGVzktMsGnnsjMSFDF7bxaPQB6Qz9eKTESTycGhuPTX726aw8Tf3un/C
dXgYRLu2KQK1I75u3LSjJ79Nk6UdaZoFGxNy1R2Kik0BAXNr5M3yycL0A5rz4coQberB8YAxZP5y
x/mdIJig5zEi+wXcpK2NqOgxzamdprGzTzuj2Uq/Hpns5pLJ/2S/6AsG8MHw5SV2ewI9pADoxj7i
kwfc+c2taTFfsdYnHI/PxxImC0CrLk7R091NyN9InJCmxbRtfLfHIiI69joWIqTRxaxNF4XRVZW1
54AaVB6CZsA2vGrJ7S7DgVjRFjcke9CKDjK6x/lMDGZ7yd5aO+LdQd9ITnk4stVDQrIa54mFeOyV
DyTYSrFKolXc0zVNN8pqfVzZ06nHRr0ZNZiqPRu9zVQ4Z4mdPwyjT5/KnrHSWwu8f4uB/qj1V3Xg
LYcmhTc42/jsJ+Dq5wDy9CetbVSUVVAAYmd+z2frtidoGEepyA+4TPorfnO1//Pd+usDQs4bhQFP
Pe9gOGI/vyOmTjiDM64XHaQqI/xki5aUpuZ0jyNHUmCXxt9+JDniCqwg381b15ufjxi0k4Lwl/dR
G8dHg/hchPvfgso+b62KDI/Aff7zN/z1hUtZzmoDGnsN6ProyOpEoAB4DH2E4F4ib4XzjzecPbPZ
zp+8cH+9TYGa4jRDMvIDw7H+/7+oicXgKNRyNW9BXzlntdYYKC0H75MT+NujQHKnTEHfyDn8+Sil
HmtlP3ICNZcOAB2ZQDsMjfCv/3zejF/XMb6NT3eJahFduPPhOORCLIYLkTSaAOOHdIcYoE2lCF0m
misi26Ok4MbXSRE7tf5Ta4qoZhj42bK0KjZ/XpbWTEGX7EED9TR485+/btOgM0qV19GYLLwd0SzF
Ph6zfm+PPW43y17so1FNtAD1+q2oR+8277MxYoqlLsplsU5OXsefXAHzt59p9QwyQw9+3e4JW9O0
OLG6iIz66qi3zi7QGe0tVd9cxh12r8Qb5JcCwzmSQ22+gqOABiUlHz3wqzr0quKtwChxmdOAAinx
MmQERzegmu7mCn6m7FPn4DBiOVVzcanp/Wfwrd9/gcAwLKCMSNGt9dr/5U6NjTYAkz1yUpP5lkGi
3A+jLR4SVrGtxPsCL9PQGa25PW+stjzNyfIKk/i+a93gSLcg3k5+qwgArYObevHqe7gTb4sTVyfL
p5s8SjGju820VQVU7NsUzMEnd+d62X+5Lf7yDT7cnbB8+cD13EWzltGjwNl06h1GitnKasc/t7EG
pPVZpuNGolXbrVOmP3+EH1riXz8CkBlSWIAT/RLpMLOWzM7QRZmW9HSZSGH5Sll17dldRdtR/447
a3rCT5d864gHH5TA82yuQBQUupje96aOpb/Fl7oZEVwSX2wOcm2Q69HkZJhmMmG8zZVhsFR6d57F
RF7P6tDVgidiudqDoRz9HAFXcVjq+tVT+p07cyBhG8NWjrQ9Pznnv5ZuPoQ0dvlUCGC+1g3pX28a
wEleHoOuipqseKrQ5KusCLWFfCqEIdYndeJvlm0ULw47T1K5qRU/7JNoVbtVy6ITISd+D1IfT52h
so09/d1QTiptvpZJPEZg0yHRPxb2TSwY4ccOd1Ir7nPDEmQILgwEyaxzN86cF/BqXQ1isWskn9xC
v3n7ruQwF6E6LyYK75/PKMnKpAZn+uqYn5FU+KCRG9So8Tvoiq9sed1PXlA/as8Pt6wLQwvTpsmG
m9CInw8YKK2b0pRblm14dTtY1D0zhJG5YgxqqeVNj8mgT4spFLOkuEHlt1V42hjxL5989d/eTNAn
ebNY8O8+vpbToVe0L3l+STXrQ31VldsJwT9aypDISbL3Pz+sv3lp4nDCLx6gEvq1P4X3L19jobnI
cztFQhrxdmGS+8ke8bfn16CTwZ3E6cXp8PP5pQcuasOGdcIeGZGompJQVdjA3djXjmOHXFkoewg1
khV2Y4wWg25AsZuUdragL//kef11Uw4ak10hm3L6cpi8fv4w4zw4S9LlfBikR9iFGYV27QLvfkYI
WxraVnZlFRFyuMJzB/2TB9j43RNMNcTJpm6HP/jh8D3IPdMi7jCaDTv5Kr1VOTK2or8i188pN+gp
XHdbD/yCjTavwWjKbQonxBmFtBInL6RcxpbjhUosMqPMvh+MrSMAXv35zvjNx8SU4q7zdEwtv1Av
E4Tts1O5TQQUhyARe1E7MDQB2R5O+skp+c2hAtZPjwYpbTj/Y+8nzYxONq3XRP0Sl++2NXs3OBuY
zmmu/v/xtahBHdJg1pbaL6sa0jDYXr7dRODf2xscdi5JH158lrX9659P4G8WMY5EW4QSEZHVx06F
ucQCnzNHInVChHFfyTuix02gHB1isamEO0KW7CfLx29PJftrmwGGYaOO/PneFkKvcIs5TUSyutqW
zoTzAXVOiHG+++RQgfObco9KA/irF3i+xYr188H83K4HsRjcInZLSq47zz1WjcQel9Ap41UZ3gKp
cqnJic601Kjt2TkO026ZPKu8IaGRhysFMhYcCZYpHk2pwKIRwOgPiEYKFxwXIpfXenQYNjKU6/Yi
KUhC7bDKAyjiK6GFdFGLh7DjRmM/Wro1nzlaEkQpmPNlVxPDlm0E3up7F5WVQdgOdP19ZpSTu7MC
mZiEqTAGfnMzmiViI9nBJGdT0lpx2KZ5mzx0RW3MRya0ANWRWJb2TtOlcSqZ4oKUH3LVXTplNfgX
Njro+MbFyljt+XcNo9/YEmu5GewgZzafK1tc+F7leCGhEHUG2aop7pSGdf/UVlp9YN5fIU0SrdmC
8Eofyw7I52Ya7Do7emIUEnpUXedrLt0KfJNz1Z5niu0k0KUAmVHUdWOQh5Ny8JDXao4Bp2ldrNN3
KKUZytJZi6sUiO+r18X0SzxSQLfoRur2DqS/5kV130EghKGn7qrUbvsd0amBd6vXZALthlmJ4UgR
O+0bH/UPKRwCTIAtxQKyrMuCqGp5Re2KeG3/6ZoZ5JuGgehDlkCFn4qytradnZCek60awdIfbujz
7gflyKdYmsVzofn6bV+5I7xFEFcajIGd1QRXA0FDkN73U+JVt7FHE9VG4k88dBqZdj6GeZCXWPTV
yVLzuDVl95ohOsElbxI3k4HsLi3ru21pI4aDGcSODULN7UYdCnzqRjbZdxsqZlADkAbOOltOX70e
dJ5NrgkJcup1aVznoKwJ6NSE1C4tHhkq7UgNbq6dACqHoaMQzPEYbQc9Nc6QuSQX1sj1YLeQMukj
53SxnMjRDMR7jMAToBrHOLBxFmT5QFHReduCtwSWGW+5yYvp2PRMGNNlXkUE+VVOdwlCXHvKp8kM
yapFHdRjDcmSGIUWNMCzEedJypW9jn37ttSSCSUegkWmfst21voBhBsz+oXS9TYWhXyp/E4/rxKP
/O+eWMFJ79t3V2sqcvCUDH0a1pFX186xLQI4j1U8HS09RY5I6saOJsXJhL9GnKVBLMH8XOoDY+Y0
PqBgvEuH+dmZ4mrHoJhG3RA/l64mmErnpX9Ug1ftldbE6MM00H1+fOpiKw3dNWBFz5DlFGOzbOws
WMKEfcNt2mrquhGtf9sNE+9FC73pjBSmmBYMulr11jUEDgNSSg9pV5aHqvTVu90hPJ7TES9bmKu0
J0JkqJsKmcOGSrMV8a5Og/4+r/0E7xs3zxMZ3BZS5oZ9BC9TFolMDCOkviW/bEbusmyOEa3lxlFH
67DT6r7eI7Xwz/iHGqEWpzsGezN35+SSirH7Miet1zWIDGN7zMOlM9svjMD3gEB9sdFMPnPkaWb9
bUJwIg9WXphDWGLSUxviMjygj+Q+ZJvc88lDLmblQHitUx0Mad2kh7blTMFiqAigQpV1n9DVvzYL
cKtxWeXpEY1Pu0P50aA4MZn5QtwjvqOhGZeknf7VXdmSG/q7cuctSNwkL9lvfecLlwm0IAYJmZ51
DlnavbNVHr8HNPeHLVUAskgZKz1cZn96YM5UvreyxWo0l53xUuHwCNmiOVcB2NAvaQCwq0OrEfVU
LPf+bGdfFDo4bsYC0F5vNqelZj+dTiS/w07vnujCMQbJ8O/tezVwJyRW0Dwnwm++NRJTWz5pzbPX
mOkha+O+wETW5/sUDOKTUzcz+8N6HEMCIMs+HJaOh6MwNWTDup2HwnWdbUbBdRxWJRtiTuT8CVFq
SI0NVUKzgsS36VOhcNuNYtn5UCJ8PFZjTI6GDs5jWzIaxB6YFOs9qI0nEWTJnV4mwDe9djD3HadT
e6wCm6/oyTxIzoS58FEJIyLIdhrGCxHH4gqenB/Wulwu6t73z+3E5rdaMo1sPXXvVG86yxrs0JxQ
6KBOGzv5QuvORAlVO/hreFR3FUa5/TJM+X6sJ7uMPM8TV2TUKG8rkQdf8RA1PFRcXZrwzSkvA5t0
30R+bZVob+ylNe67lPOdZvkcLXM1R37CSQVtPp9p3Jo30mnlVyKrq3ZbkbOhmLpnBPFS8R2cqeTX
asDkjdZuTtIg3hc1ovzaz7J9RkBi7hbPa77VhkCasSCeLDZNVcYnQTciGoK++x5gNbuyl0YjSh5R
9NWUOtBhR7cs5+8LsjufuAcTKRvZ5iPCvXOD1zI2ZaJ/t1riN80GPBMJz/4wQJZrcCneS3wZVykc
tgcJbegSsmcNWdPNw55QJCxp2hIbG+VTRDqDZe4EgsPT3OpxKLRBnbUlX94O4Lf5Wsa6KJC1W9gG
EJxq4moIGuyxie9QgVe6z8TCaopjm4MD3vQBTZwQ8xFG5rLnB2JF6IsQY9GH2SLrYUOakqSNVXVP
80zTGu4RJHNhO9s4nhHHorfmLh8SlDgSWu5dWibq0a57MAEj6NYTgVL5rd+38tUi4+tOC5amQFYy
JlezW1bGprOr9rloYC37SEofdTnlt+l6uc029s+djMihxlYcKNdILvc8tC0UGcmV3XHWSJ6dr3Wi
09/1BdmpNtlOhQ7ej2/NEsB9oyfoW62R31gv+S0l+/QA66f7jjHS1k4LwIFkp5UJTmhJm28bDwkR
s/RbunZDduiIgFOrvYqVfIGnnmpufGsnbLk2OCGb+Vgq8FR8d+6kBZ4LSy/eaRWyZiVXRZ7VxrZE
MHWtWRlNXJAJXGu0aHCnkIP51Tbo+vfa19gzkUCb4coYCaqtM+PRFqB41dgZby7CIHLZzam5YbVY
3ms4n1AazGrOt23mDG8mEC2Ha+Zx70vJaXF5k3eRPpJitHEpee8X3Ay3Qa+zmnmuegPt3dz0MbYS
8mAl9r9ZfgEg29wYvS+uiNlKoz4Ap5sChETwlZCSPfs835Um+qcG0b5+02p+xxpf56VzrOeakwdr
+4I9cbyXxEuziAEQoG/aW4DEYst/WTq/v4xLKSJVkM9lu2iFG16b5xaWVlShnkivXbuTe1nZ3UMr
yRFsl+SdFHr+UyelRE0ora8Onva9LeGSSgzdIYJvgvcwkkRoeZFxMZEI877lOeytcr41yna6pggZ
N6SvxY/oyGH4aPVdH9gXymNJJJQlZS/TtuE4BNllQ/9HHxJ1ykrZclhwbvoI/ibxStYNbL7RpKca
EltNXlWzE9+5sVkfgykdCFdNsZUaFcPGhjSLI/jEk5rngojoQV3oYmzPK+FVJ5FUM9J7ixIwYPxH
C/U1cOD35F61opWV9V0V9qnBY8CS5vM3q2t2FbQ4rJsg6OF/P1Fv65tZn+qvwbjOmep+n9BZPjaE
rjEtSyhIVVbPT/40ilu9Ssa9N8mDC2A9DEYtFZu0qTE6LK/0/8oveektHu8cThLYKsFCzw4HzCuw
ZfRfeXfEI29tVKwhf4b/tUdBzuDLGGRIhTpeg/nRI1IyuruhgblpISq8HToOAhzWQ8BF3heN6Rm2
dGy/BmngPrpdXxzS1HucMr2MaJfCytUp5TZlOkN/JMT6IsU8ROyTeYytxfhKhvG4V76mI14zFsjr
YLUQ1KJ0lwmBiTmtQjHP7hnFhf2U2U5UOVO953FiAa4zdqdI5ckWIiDqXeWD+TTBDr8MymBBtVDa
9zKZsu1EDbt3WLvOyrgrHlcyxs2suEqOIqV571EX4ippxQ5YknxbGDVhVhV9etlk3AYp8ZfpRsOi
wbImZyLJSuhwkwSXxAABm1xvbgfPpaCHOvWazVN+EmN16PGjZhvH1s7rOZtuFt186lONaD5Sh1Jr
IdGLGRsFGZjn0nbihyKvKTNstc9ZAonT9Pv01tfbJcxLyz/rQMhsMWHtEgctYA7m5QrzbY0MewxI
dgTyeZznWl3gfeC1U/pazgPnVicppuyqyCysTQ35wTx3LY7rTaFlPEbM0NQFUOLsuTRtN3IMGvC0
1mreWAtJlRDZteka9XxzPtPMZlfnKZy+Q5vlBHem+q3jIWDNvOkQk82k/C6/KLjKZ101IlS1gfoS
JwuVc+z6c/q+qNvxGRuTFjwHzEzZ57y2dQVWL3EW0KnuSkWrEn+jVG88TzjQj7XpfTUW9y1u6+aF
irV4IW8EsHPXwStELrm31CB2vTeUN7NLxVLAhmfoHfRrJnucgLPTp4MywdicNKse7VB5eucdvNyA
jlzZbn2lgV0Aszd79RXtmxo7kp8hihwKXPDco072UkJbvDEbH3BzSh95k5IRG2XJ2H8vOlP/WnVZ
8r2JdYK+TJhsVw0qALzGWX0H+x2OW0vFw3VL2eQA+ip4S2jw9QtJ7sESTPILb0t6Z0sBEIOmP/8L
Tqt5T33MzjQvE/skcmL+yhwFNSpumgjdPJTvub3G13ZLH7/oXWZ8BevLm7625+m6A3X6ghuLTbgd
p1qwhWPffdccSeahuajA2y25U91B0WBh6JJprPee6FW9twNs8iGKWm6PxBwocMgTre8Sd8gdasw6
fiHaiD8TyAnmt5cF+SoU1bmNKmvu81CBc6h3GRAZP6xQaXlsYiYOmkEC6s7SxSHItdMrZSTbEYGv
2FO88psXDa7f0R5pP4aJHcxapM1rCUAsL1+JzVRwniU6lgG3LSlakfJylbSFV90WtGv8oloFc5Bw
gWBlcjjluzkMHHVoLNI6RuAzL/88mY7SBNxGxpPpdul0lGmeAYtgw36ijqBXia3VuF0O5HFtCuC6
re4c9GNVVKQZ7R6UBTg5qnzKD9KgC3RlNs5k7Htncc7mtq/vnBFFBZeQeet2XNNleY4d+iGt1PMM
PbHKVUScpZdcBKpX74qsSx4l05HJhasZyX0+KzOqMIU/laB5bnIvgE8jpa/fj4ns5sNEGz6+sge+
9MFUOp+RqpxPnVZAR2lnYeti/lfD5OWa8OzS+09mZOkkt3HP9fz8Upnd95TdC8GfIxXx3KnuLc26
rIiCoYWyPwRlmkU6wQjTtiALj3qXy7kcKvp/pzHtNB2qRU9Fh+lYYjjArV7vWmYrZCg2KQZ7nik2
3LyEeX9tSa2PcTz5A7Iqc5lgVSfKwquwlpCFV0F/L9AGPhiZbu5IZdBPzKTbw1gO1k0p/OkcLVP6
uCzJ+DDCk/lnW/1/NaifaFBNVGF0Pv+zBvUirWhG1Gv/+N/sqH/9qf9WoQb/AJiPwnQd7BnIr+jb
/ssaH6zO+DXajGmcxXLgcqx/m+NJMEPqwBDBQqDmMSfr6qFP/t//sa1/YCG0nMBAIIROAO3q3+BH
sVavvdy/TMh00MKI7tBxm6vmFT3sz71eK0F52rM2EdrLRqIZtobtaiEZw4imezD25BFaPdGslqIQ
nDTLsHau7K23CXVCtymXtKL+n7uLaYZlyb1tZcsTN7BtPxq8ufKQwv2r8E3xUE5sgggxdZ4UGs0L
lPZYGcdAi/dpDYoJP4jmXeCysu0trq4AYxwwm8Ma53nmZdNyKCfnpmh76yu2s3g+I8IDewzSxf5c
ZYFdPVg5obfn3dIs+nYo3HEoKT6s4Xu2zOxfzG7a/lgOg0zucROPIclNc2i1uoV4wRq+8PiOCW1d
yima0inbGrwL6ARYmZw7ERclGnuzqgkjJq3kwUjIHESwUC3blkxQ94hdjY0g79471x5oqnl9QrRH
9r1oAuy5XppuO71JsY4o04yg0t3PWKKv3cyLswM/Yl3MkETL1SCcHvrKwunfIibc9Yb2ClAY+62e
leOxxc64XYju3YGoCybqCCytS+I1zm6xte6W6EbnQgGh2aGk9IzjgJWnPuuXIH5cSt+7k54T37f9
bPowSXtrNa5KpzgrujWIwGvj7FmNLZtA+InbHPUU50CSMDpM1ckN6uKsZ6oFA6/Ec2K6NKEBis3j
WT/0EHc0IZOdl7rLbVMJO9Ujxn3tITdcWOvtTE3dj7hxx6UKPX/GXm3HTbb35zg+YJYzn+Vi0fFZ
gADeB6QG0AwTENsPtqb7xWPasjSCTqIxou8GVs5J26GIwMAemUNGw+iYCBJmyHgBOGC8im4h0yP3
wNg6DiZdSLxbk47TJYqNEdQRnUw3qIxjqpZbP4ndXYB1DltsPWZEkdCfs2v4YYm76iUH2mgbQhEs
mr7/xd2Z7DiOpFv6VS56zwJpnIG+vRA1Sy53+RjuG8I9Bs6kGUnj9PT9KTILVVmN2wNwe9Fdqwpk
hqdcokj7z3/Od1wxbliVD1E7BTzKDf+5mFwg0OKQ6PbOnWlzXtDl/Iy4r1qodiBmTEtRDGua7YFX
dC+GkV4nNi6rlv/MNsGCvaqG+d0yx2Xr+1kMlmt+Msu8O9D+kW4WT+VnVRnmQbroZaxNxPEGpQXj
a3WAbdmCVOQXjzzqiAQHDcFxMKQHU/HVFF4pXsJZfNTk/iMF5Q1tuTcip8+HbVP7PZwX284PXTZ+
tYhlxzYjzKM86LvLUpmbVs67hjMR2rneOpzZisJQ66wy6ihRRmiskIqogE3Tn+6CijfRaR3G8Io8
ZS6r0GmLIDKdYFyHek7ODCI1ovks8VIsT5ztu5XVZGg4wo0jByjFA68+P+XubIDIn3p5wMqjf8pS
zusgtXlz+LLt1U258iXQ2GTp941Sh3p0n5RdPhagjhcr3lE1YUa5WJ4zrwfi24VHdiyPXZgd6oVt
WWDOmyTn3U+g0AaD89IpGlzm6S4XBgAmV9OsK8t+M8QLecDYeb2NuvSKUT1sVXiYHKQLUY8e8K5U
P2UGVCFlWVHYe4wBvctNMGNldBsHcnr8CMcyb4hAOFdm6XpTkYyKfEIjXFuStmA+D28nuqpDBgv1
PmjL74tP3Y0SZnj0uF0eNRsrDJN2fknDPt9Dx0jXfCusa5KqK2AiCCb8UktTX6bAyT/L292s0DER
oSDvjJOUwnnMhPKO1KCkER8Ys/wkw3dfpd9MoxsQVKdfaV9Z+8TvNAAP1Ci4hpRrG3F41DOh/I7b
+hVeHxPQgheKHC4F3u2VHJi55TaBXp4bI2CuwuvfuK/otUBPGFbS7vNLLvQQqR7rHgE8d2s2Sl/Y
aKeP9jSFVGKYj0tr9Gsnr967BEM0mJP7earYC8GdmnLJYb/uHjsKrXmHbggNM9/mdmHz8hrnM3Wy
C9Ying6c/qbCYjuY989lXVB2Wy3x01iMdxIlKpqsPn/xjfzFTUJqWozhs1vCb14iDkK7t8pcLbdV
CYErFeO2G5mlgALDz6DjOVfORViJwrXRfq/d2d247dLtzV48y5jZCBxFQ18kGL6Tq0bzklr0+Yby
XHbpq1cIVhHlsjEZNlDBbzJr+MHoABUBwbC43UulETwEnU2pcz49Tnx0N9h9AmLaW4KPgoLibyXh
w3Vr+3zVDIjmwh/u/HnYDKo4+oHoGcuVONHaHazUIPHrxmGTRsVcBqQg9HJIm37fS+q0s7jY9aWZ
RQmU0VU2GFseZmUEht5fBaMTVoxE2vmO0owFt2+M4DIvpnNNKwRNIInqrmTCjWg+aTYyd/E3cMiO
RqEp9VA8E8byxXJom48bzuwLD9Y8DDei7Z+wvNCL5VffKWTZh8H8LfeLcjPw+3hT0RSgafzsNMw2
2ikpaywxgYAl6C6XyXWI9ULDlYj/qXVyMzfZzgYKSqcT+z1utHwkDVKAAWjZwW+CgjvTUNn1A1hI
wGBNSyyu57kmMxSGuYG9ZlnQ9cj66rMgpRFlQsh9yHpvRZb4JTXG2+N5TEgRhysjcC+j6QuaZMr6
3kzkMK0dCNaoG/OS60dAOcEh7IrlOA32C6R8+UW23Ej27Gt0sXV91lqQ7y1Cno6DIY969VJshj78
XrH9slLKSHoG/kfaqx/G2gCsWRjXak71fTFlb11rY82YvOaoFu8t6JzyecqKozCsfmPx660F1Ssf
3F6d/S2hTvbfajekWltWKAa4oGZId95t0R4EkjGNjpYo64b3MEkoCDLJ+CbDWLwCFAJ9OXTBL0+7
CftrSf9NapefTeBTHTCiYhUa4kWBNbwKKv/V9+H7GbEHqt9P8+c6wVs+jdi5Qp8lim1PhD+d25eI
Dyxf2ZNdsFTOuCGHvLyk7apNlf8AYP41m4ZPkWI9vJEx2dALnl5Kkxl5Hnhk+7m0wJ5kLbrbIltn
Jc22PHXL0uzRfx3OCHVyZ4kS1Yh8jeH6N9t22DwGlVCUPAWpvhrKDvaL76k3EPD7pp+nZ2xddGSj
u2URbuzsDNn9hyqC79ydy62iS2Ot21i/4Fk5eTQ67GSIXdpFJdzE0uMBgWC37oU9RCmxGXaqTS4u
tU1NUCNcdcbpsqxou5rPlTOG+7EBb+Gn6nuJ7yjSNLhaD1IOcNqoJ582trZLQBX9mN6ayzFGOpVT
8PDqjPode7N9Smhz2JacBV/NsbXnqAlKNAYDb/1TldrWV1263pcDMwbxiXwwRYtqZVglBwbNey7C
W7MAXmcOwMPR14uxyrR5ExruYwYVm+8taSVWHKQHKk4eWDAzxEfGeasa0xPpXn9b0IH7BCezb607
DloRKNlXID8HT4w/mtijAk36y7rq5bTRZJ4PMRU+q2UiDsBDcsendnRz1t1hxuq5bJocSKb+GNiA
M9/eYsoSF55b4lRuAeDRP9TsU6eWqzmWpFUCq9zbvXBWNPINRzKym7i1L3ma2y8ZWaRdKb0AYEtF
82qfVmzLw6d5AeUzKALn6eDsTOsL0gkHpjxGZqniF5ZX1aq8xZApJFh7NMutO7ddBUOOTcOb6w0d
9/ul5rpDKO9WmCetqKHeEr7+sA5uIXDiiO7KCTyaNdSwCpYi/RiBBXoc8LdmwFtchfJlagBEkQOS
GApY4KOCrXN8GmtGFXTE3mAFlviIXMzwBzrbH6m1d3ZeYn8va/3SSJZetGtd++omrpGf3k4jEYFW
9ms0fqgcrPHuDFb123YxxGuJEWXVUxb2MtEbFQmByDrNhrPKrdZY2Q2NQ6lrsPzOm+ZcVMtLpeS0
bTrOdBnK2Y+ihXLPtvq6ZFzlU0ltq4lp2ANS8uJb5Vml2rm0KIQRNK9fHH7pI0u7jZUvKKkGnjUE
2Psp7bAklLp6oXs9w4ij4Y84ECoch8MOWiCVTkZe3kGshB844ukITVddvCD+Mrs2WYfF5O3SsZiu
avaNbdgByEH54dQDY+qeCPqlBuVwEUA0qkbR6de1xSp1zPki8vBoWAG5bg8Pij8MxI9DfzyzfvnR
MG+UlvEuguUzkR4A106fGXNn3gyWrAjAcVAMm8UwdiWM4AD8sEUs+4znX+5V0T6ozD7VU8rtMVVk
tofM3ErJeDuI1t7Z/bATjQvzK89PtxQP5wTzaBbBi+unNiSw5XPy9fdYJ184e7h+Gvuq+zufdWYz
LD1CXZ18sJcdIu2Uh57WmCix/TM44G9EQtdtGDY7xLNmJRKSRnFMb4pRm9bZceQ1HzmdGV1uRqAK
wDYUQWJeirgZOZ4ZD9pTA0zKalp4JOQwUgALcWswDXiUcxB0h5Yr+GNu0592QTWpHY8zO3nBgm+E
xDCsUrd6L5u8ajYAeqoLjywcNFNjlxzwqMBdi7Str+Ot2m0wJkgw7MJ3eYYVBBIARSVRU/TyXWC9
wtoywM1ypXoZNdSgYWDRx6m6OIR+WmPPqZ2tnJfkNJra27a1fp7bBSBbE96Hgc4f6sywftEAp09L
mtGaaQftXpRzcdRNPG9dfDPPTs3aCz4tTDszvytqhwE/Me+XJRkiCpKTs40bLdKWcO8I/zkblqrT
zm7I++cD09LgO8a2x/+GIyzhAAC3iF41Z51MkAUqhbALiThZo23A77PN+8TRQeTJ3N6ItIzvPav3
9n45fwWVph9O+J9+UvKOcai9qzV4zDafD247QEIYh4tVNRwrutTnWRx+QEXM1irwbdrkqHg0pFtz
DGJ7wfKZA3c4RprvToI/k8u1GreOYE3RTwJO15Rv08YsD5wbDxDo4GhBn9tyu3I33M1nPnq33pR0
eOepvGeYCmjYNqhS80sUF3vCsAHdg5O0YxZ3PKp5CuELk5e5C091VwcrWeTOWsSAQXRRRcbA+MH2
SZ184C4reLDZviscK/pNwSj6zjyxuemPXWP/Uou+m0NE+9tsgU/iYnF339z4aw95y8fYFN4KHVxs
4F2NkTEa9PU1dMYUKjBOo5M/ZKISaKbVXeL5r02A7Z7zNR4pyeXfTdO2tsxdMqJ3lL3LLOOm81YX
GT8q0JRHZv3PpZFXr+nBd2DxaqEXL4m9QWVgzsKXG1UGxL6xT/n1SuQau4tM9l0rNvLxPm1KsIGF
pJxumo8j39RIE1NbmbrnHula7ZoD4Nfg518gUQ64TB/oPwaU1s1izQh54hb9io+m3jq4IBm1uJKt
2Y/6oWOxaWXmZbG02LGGREZZeOg6vY3YbT3OuXEIcr0B6ltESrE0ZdBZ6jflQFVbjeMYbEVpPXPv
fBQzEROu7X5TeCOTVzBGCR2d6x6leQHIolEEALxl4zHFDM8urf6qQdRd88TggwzcnRoVtAxS0S/E
YR/8hbqDSVpibXfmtu9cVhBtC3Kag7Lxu5oJY5CfP1dx+jOw1KVbxKkIvE/Su1tZfvYWC8s++NWy
MWfMzWYSyEsedVW4VnkdWSDe1osafske1lZpFB+pAomnHDY38K2iAjo5okqAVrLkwFdq6pNWqYW1
g7vWB+0qD23KDTrqdOtNtwi1f1/pQRwNzvRyNSUl+J2BoXxQc8u/xJNcDgUUTlOyIu6mul2nPSET
5Z1kZZ1a042gQ1ccxIpSb1FxkiOPLEBHi+UD4rZmpc8GQKSd04kyZGPPPi0rVfxAZs4EY91ZLQZu
ltNs3CZO5P2zwdq+o5e1w4bRGsXYgqRKkdo8ZgSAjErobJs7oaXYnfEeubFEc9Bo/WftBw7Uyskv
+nMMTRjFYvVbhP7P1ut3P5vLZ/Wz+6+3H/ydwwX3ubT/b3/9Y/fHn5Ofza267i9/2NR91s9X/bOd
H392VEv+XYe+/Zv/u//wT+H8f6HEW4ADkMD/YyX+AAi5xlL5z0L8n3/p70K8j25O9IJQHYo3LFp+
3t+FeIu2BiJNt3Tbb7GdcNjfhXhxK3IIcQFZns+LuLFl/xTibe9vt/worvbQI2VhIt///Q14+ENf
573jneWt+/PP/4Yw+tBkdd/9+39hE/BXHZ4MOrSJEKQA5XwECMKb6/yfEmqZlwHztLr0OCnLR3OS
jfsb2n+SykctmyfLwbyah0+yUKg0N7c+pNQhcMmudH2j9q1VEVMLmtI7LovvUAc7NMu46k1zumpW
W87Oyqk/uxZh3r4pNrpuhI8kyaM5LvlSDaIb4KZVgVqVMS5b+svMxcGdqL1zmHs+qKOxXQ6LtfQO
cPqGsu3St9vNcOMPRPbYYPvsaP7ijGyorxAm/HcoTcO6D0K8Aotp04uGtNZRXICtcm0loyPOoeB+
3IWVdzc6LEGrQT92ePy2fkcsaQXWy2RK8KzsSeb5fKWeuL+0iagoYMJisPGnxsCaEUyJu6pdM2Gk
yuVj6VJYyo9X8DGbeZ8Qkj4KOqBPVhrsaCDlbJw2WbN1a9ejiSplT92PoqANDq1h6/S+eCtvsOvM
bssnS+AoRx3+SLjR3YPAD9d4Tu0HzWH7MDSzs04t8ZB6SweZ2vM3xkx77EQT1oPtG+XFrsdH10Tw
ccsS35yc/PQ7Thm5cwBERPBMi5NVUaqaeZN6HFB5eNvTLLljfe1cxrS2eW160WcmIMUt80I3WfWL
dUO4HQhabzuXRGiCLfURXMl3N44bngAYRjyDQx+d8VCI3eUtdHjW0nlVR7J0j8NInZyPl/Mpbzsb
JS6cTrb0xwd8pBgFi/SLp2X66TYeK5JkOgEqZQ7Gx7DycL6uWk8a14EOj6ey5YRQF2V3EXaRRtQs
t4hPxbUt8/5ioGUxZWTdSzFRW819dbrMuHnXEqP+xnJ5pQamHMj6cfK8BD5b6DLgrhnldQN3kfKD
dmNKSWFaqszjbOofJf/+fcKB+eoPNct37Nbho49f+coET4c9ywtgzLjWLw5Ta5RL+EIF1qAdfcb1
oym4on1P92ea/JzTzANEtjaCAJf9XcND8R0qLPkX2h7oLcupvsafWio0jcFZK/q6d2Dckq2haNsA
z3I0U+9uGDqFQunRQADaPo+CfILCVZc0QnRcgxiwWWjo2Ogjb+lfDfhAdB8+8qw0t7F/cgaW8J2q
v80j593Uptm1x25Ddf06LJ1HC27Zpg7k9076/oHCsdf5lqIsRfdR0Ya4ZfEM5r3KxMl1YJHWt09q
/mEkPGgai3Dmos03R99WRHMY7+U4GHdjgCQXa5msc9N552bY3QtZTVsDRjIAmsQ9zKpzXln/jXjY
qRusYmKl7IL4WhlHHwrBCr/FO/Ku2mifouIS6y4Gk+PSZ+e+6hEjejL+dXahbC1jNYeK1joVQAIq
7sZRZttizKfIAYz1GMR2eZWBmxzIVGKqhtF3IM0+XaupXHZ1X5BsAN+0WxgP75x2wGpDZUw7OzEb
Rasbr6PTv2prNvaGmlHqHCut+YI1nTOaT2hz9JCvldWK/GGOR7s6s+y/VG3wRaOUu/G8JXzOYYRx
sqYJGPUjfpjtILunyOCzdiTsTlXhdWWT5MmBjqiUU8BH1/IrYw+Wa1YE4gQCHyCjcLmkzaREeHRK
vNZp+TBz212lE/c7EEaYjvx6/lhoSMU5xv150FyD2TzNH+E8MXhUmamecEs+1abHRjGoq3uKKOFf
DCGUsofEja2DLSHk7dDy0fVLdzAxs+TNQRYD9kweNyAgZB0+9rn/SzbQfBOB2WKkRhUzIbU1KEMe
kD3p1RXHWicjFQhGUbs5FtXMM7acupYtSnK1ndPf1b/1H0XA6R+1wDMNkseqNlPNs8VQ3wtqMRga
nZyMDwOygBbXBhhjcyarPXJhvpwnp/WuEw/sJ5pC+IoUnGPpIO8H91tnZe0xXaoZ5WKx3a+eq59a
ZuL8UHmN2HewDUv/UZEaQauxzPbYwDA6qjm+DWt5jb6q+gN7ieQ+LXX5hMGX8Rvh1d+ltAONaHtj
+i4Dp9vQAFLtLc48n1TomsxoQUvGOKFN5ZzYLXU+viMxzS8jqJJBoomO9k1DIBFiXCW39l914ZjA
ihwx3nGQ7x5maiRMXK0zKMXFqqkVwnNqU48yLfrNxPn1qVoze+eZTAco3oy77tZRFA9u+MucUoqL
mBvtRwNzy5tR0GtUUXBEPA9o+a3zyP1df5T9rkLSt1ak5NaP5DbDobo1JnWcH+b1/LtIKaRxmw0T
9e+v+ta0BKi0/GHkJlpWpQUyjYfkfY2V473yHAk38ndnE8B7anx8X8bQVKw0ObS3hqciy0KHm1ES
v5JnGh4I5FIGhRBtPGS/K6KEXdEW9bs3qpS0fwxxT52UCKvlEGpV/HB6VTzKEZdUV44CimAdH8CX
V2urSPmyyqZX94u6FUh1YxegSBCdqTazCM07WabjuzvO4884SNVH4GDoq408JB+YhKiak5oN2tby
4YF4FTs1u2uN70g/4HMw5hGQxnq71zSgtnvfGOVHmExsiuYl1gdpsbJa51lOu1DoV/kbOrRDz2dj
94+5A4sdj6KNDNXL8sB3DiuPFibFJLMzqRWvnM5MvzXf47CPHRrazWJaW4Ph7nTpZI9xKM0dnik/
qgFYw1hh97bj9swOxiV7AOhU+Od57NXRSntv7UmHMtfhVhcjuOD8UlI5HLQoEihhDCai35DhCp0V
acmrpbseadINz+ypsDD4MWnhCUkcSwGK2qoqaxrV25zxJkuY+ZhpuuZbMQtZb3osYQrfuVp+Eliz
72ITFjkIqS8nScMXdJfqs6FAdmuzrirX3OLZNs0ssIyIhBl3RHeazUNGbPQuXBz/Y3Dbci/pBUsi
kbgLoRB7tr98DAKnPrbs17BPUzYMlT2BSW0B4SMBN3vsSPzfYtFFsMdKOT8GRayGaBKp9TmEA2bR
2pUfsBr7qxv2gNHzSZjvmlaTeEMNquZaMju9Cmrf+hEqofJNXHmJcWQ9HH8j4lO/zAvr1q1dp9NJ
d3qGMshWfb20rHoqwj6HPCkezEVn31TtX5KZzqe0QhIKsAwE8F7quQ+vTh+aF+07yToJK6D0bijF
PZZDephZlO+Ux8FihXzjfAGvEUS1G5m81s7ss8irRlZiFk6YObI6fA5hmSSXrhfLZiQbehB5OewW
x+3Xi7TLrTZNfbYYfj3dVj9TVqJEKbXnk02E6bMauhpAgte3LwkdFV+e08TboTHJLPFpLl2Ekq7v
qAErDgnHLNJCsWuyvmsT4kJJ4bBOodG5XoEixIdjpCW3Fnu8a8hXvpU0tD2DS013ZuYazAexPrdy
CmHyQmyiC6gKo8TkjEjr6jHA099t61axh85C1q+QgopvHZiZdkWLAEzoNHP7eMNK2dvAyF9OhWHJ
44jT7sxvWJ4FpdHf4yXrt1XW9/tKqmGbhHZ9UGVir0WxvMl5GrEXCav9TGzlP9hKgUo3s/YPNtt/
9vx7l31vm6751f914v09tP1jHP5/aEq+tZswVf7HU/LTzUL2bxFOYablv5jW/vyrf87KfvA3lx/l
ExI3b740ssh/jsqB/Tdi/ozEN/jcH//kz0nZdv8mgC2CA7JtoEPuP1nWbEE7TAD8CEyohaGNwPS/
TMb/s0nZDf/FscYYz7jOKM7P9LCbmf/iWNOZKOo2z5r9NPjWyHTGFR+hIIW7lL6OrVcLR3MgzoNr
iHd8oK6EI+nosZwkhkyoGDCV9ZzHmf3GiDQ/NARInujpiD9Cx5oe8CGNcu+Pi7tnQsAQSsLdPWUG
XHJcPBRJjxPlYMhuU96hnbOtOwelkV4Kq2HXUmLaOmpCPQqHVpag/mKQsvBkeACLqWtgj1JpbMB+
ODvbwuic+99JPx6VDitFuAgbUxn2kcJo3Ex8BHW+NuxUpIcBlDrpqtm7E0YbUxMq6J3WZGCPI81p
t+SFWbPDUcO7WfGi1qqK+5/8V271SqxjLNI8dWfT4qAwQ/teOW/C2bUPhDph+3H/wdiWGaO7z/Cs
+Bt7MatfGR/43o3diaJulzoma8niH4t3a1IsrLF7kxQs8HN5ZW+OdLu3eiTbRO3Z9BBPWUqzRFw/
yy5o7vsOCew0KeZ0JAwBPyVO/eBWnFIyrNIhwbprAd1/RZ6bN4oJs2CHBQx5ZdoUNBA4mgAHZAvB
uYQKsRjqEeUkS2taa9wL2J1D6m62fkA5AKbrwyQreYvXhg9ul2bpGR3O3Xe8f9xYFc9VL1M7qNXj
OdWhIH9M9wiuL06rlqWCq4Fd/JIXrBVDlIp9ZQGtYBCynuOmcA4ZBoSjUWbOAXtOw9FXDcbT4lTz
xvNz6+h048hyr9DOOkPl6PYL6Cp+Z3Kidp2pr3Gp1HurG/EmzZlmdOJfiBC/IQ+WURHD7TkwYMeY
w+tEvzsNkE74JBDuMI3Ba96EU8v2zh3sDxFPHXtKGq7Fuse68MlGMoiwhYVnKW3IF3oGZexMeZ3t
Y5/B7KD1LOZdFmvjLGJjGDFv+NXGNqeANXJnh7f2AJfKWgphpCYdFroFpTNT+MDZ2LJXVut5L7U1
O3cp5uYRC3iJN4/NVw4MJ/KsdrF3CQeIMF4ZeT5Kagh5I9r9TO9F8K6GhkVHH44K65Nnx3w+BkB9
TLNajXCB4RgnrbUIvY8bLEHH3pPaPJRKzdkb2e8Qrxr/u3kPhfnNjxPjaWb7SS1AfOdX1XDKhr57
S1V1iUM7ObOOzMLvOfEOOO0cYBvibQnHbayHojRfXHLPW4LY6cqkAJzd8lxsTY8/9jarFbUk42vW
C5wOlNzckVlQm05ybNQWeeyS5x8OBUGWtOAaevU8tt97vt4Gdgg73jVtuxAGce1KRiaVc+ssF2rt
FRPiQS+6hHM+r2E/m9mk6SckIzz303QiJJ8fGg1PeoZTAzjx3OddfMgHq4vCgJjvmLEm8Kes3Dgc
uxAcph2tM8YPvHc4wuM24pm8mwKLg2gmLBztvX/p5umpX7pkjQduF/S5+2q1AAIwUZBjnHVzPwbm
Iz47sRqo/lkZXZiuaWjhjF8iIwTSS8DYE63P3RoAu+x+IupdTNph31VbjPtphHRAu2Zwnw80vcwF
u0Kn7HC36NjeKqLAYJ7SeQfp+pKpYN7hDOijlOqH7cwEspoM/pZVEN7L2raR6yJY3htWT7f97z3G
jzugb9j6xa2xxG7anYrrdpt7hnnXtvF4z9ATsKMj+8XddscCIdhkcO63DZZhaJ5ud8tNqRsqKovK
YTCIspHjR56nK8BPPppMdOvESjPsA3O9FqFmI9E37duYq3FvVkn/kuu258IYjV3STr9YRZS7Oc3n
Td+O1vNgifgDawzKFfEZ5+DlRJ2wDQnzoL1mLPY2SSWaHjK5DUMQCmhTZDKlhvkfxKSkYfz7Vy1v
TAuiFWwCO7KGrlNxVXiLz0aOXkrcZUuWbwJIaY9hpxjRlMtXFgYHCG08M2yM1Rc2roZKQfxB3+gh
qLaWHrBQZqTEq64Pd80yyHc5xuZb2CbGhhw2lTv4li91IJrTrMZ2X9lVcCUeVN913mTcExt/9RNV
mZEV0pGImda70LRjYY4mn20d3SlPztAZAmqeaiaYss9wdhfChjbKwXlZO2MFUaGHezsIy77YMcmv
pUoZm6mOpYmSxu+dL/2CdU5SoqaQNVGGBjopSX5zxdXYTPUI1d9uH+G+Ntdp6c0LFE4ywj3vtC65
DJxxa06CbJmVOntBPJajNPVukMPyn3bnVD813aQ4PexqiYY+HtlGO958rH2e2FE+K3ftYRV+aVI9
PKZhEfygOCPZyFAFZxWLDyPUv8h3Jt884eG8mWsTI6z7Ujuuccd3qqBhpwCzaXGfW2YVvyStAx4w
/4g9jaVIubulwf6yxAucqWz+BoOIOp2SigPfbz+pHKOGyjYPRToVm9YS8mcCnmMFQI4kZ2DnBLF0
3WCVmR08wLH1UHbk/4tuLK615V1Ik9bnamn15tazyUydDFkfjWk7yk1nVQtTz+2oXnU/dJ4+sya/
rTYiI1tsa4XKUe59TBxrNzaFojyVm2vh0kKJ9EDxhoOpBBeJvUnrOPsURfFsCK9Z26MyP1KBI7vJ
Av9na7WPerB+xehkQYvtMDT897q0zLVye8KhhekfwzleztLEseXb6r1JFoz3oT6ONX1RNIpIwB2K
DppkoJJ1mquDTVGFOxNnyj3rJRvnAhelild15llbq+3CncDtwzIw37VDKY9NPz058J5uAhZa2+CC
1s+XHz3nz4iwbfMUM4lie1t4r+PKnkm8UYLksiFGo+yq7aRBC5Pe/R4n4pulkvjdVK59T7tAidvN
vSqr57pyv1eiwim+6I6emUyeZD00J9LCP/1qjDgX/OiCgsWq5iVFVt1RnEV1J4k+6WxIPuMoDLyU
sjc4jZYxJ2hAY741OT3ei9qPH1o6w1o+dPbPO9rzLumMVR1HG5eoFSS0fMAGQQGxLjZlDOCtvccY
KWlHJszVK588wqNONXyHzlj5VGu6QDdWDo/0s6E62nq95bUn6H87bLJcvm/8niKjMTwJ2eCuSPZK
VOUqJdAaj939UmKOTdnQkDKA5lJ9AAqpcdtNz2OnH1BU7nsMz5zWyDJ48DfKPp6ieaa2NCZaGM05
X3Maotj5uHbm4uAh3nKu8yA4exUUktTDOz37VD8YmJEeBDyg0/+Vxef/d4OfgH/EjPYfD36Xn8Pn
X1n5f/6VPwc+KKPA8h0CfsDyQ+ufU0rWDVT3j22oafq273vCcS2LI+A/tqEu3Hx2qCarUiEC6Fr/
JzOe9a+8ThOO2+0/QyYJPL74H+oV0t6ZhrqV9p0Pd/V1Hh2WE7ZFNsBdSsS0tFIK90Jz9HhEWWw8
FC7SBXPr6AUlUl6nztzdtPjmpuBeGr9Es1IYdYmBSEVkQ0PGeGW1M3zri6pd98mMZC9nsnzhENCu
K/sc1c1L62Gnx9kCHNg17/UQD/dLG3LVB0Y9akQuYFSE+ttxm2Hg3PttjsegLQa+mnTV7jxCq5SG
pPlURNAyHGa52Z4enHn2vW06BWOyZ+Rc9HoqcvMr12UH7Xouih9sfNV9lrgDZJKxmu5Z7HVYSkgh
mWtadOgwzHnc+/AGWgdwiKUnucOKwj+12TyJow6S+UFBC5sPiVFjfIbEMSGh8QKbkxMzlKwIuFT2
VeA3u4ZwNx+XvBjuqXtHPsQrtB5T4FBR3DUAmsfW39PSVqsod5qF8vqpnx4I5PA4ptiDrMYdgudL
LzlyLmA9YhPJdx9bbqZ3VSxwtu0Cty6SLXXB5mKiO1YtT9OiDqaL7S9QL6J+HoyD0/1uMJHJrc6E
53tQ18ykTDjl9NZJyOH241Cwrmlh53I6Zf09TJdCDU4Yb261nyEZd1yeW0lTIaF76mo9wIpEZOL7
mEXRlm0JiyOK33obJJjSg9+fO9MYOPMqk/323uygk5woRS3jtXK64XbhQK5eptxdtoz7I1nyyhvL
4dj3Wkvzv7N3JstxI9m2/ZX7A0hzdO7ANPqGQTLEYCNNYKREoe97fP1bUGbVkygVdXXHNcg0S7Mk
QXSO4+fsvfa1PqZRY+LUqmtwPClzDgO325PvBYYxfaRWh+X1penLJkU8Ek84ys//XfC+qUp+owcx
TQZr7y14l9fZmVm/vn4vCPnnp/4lCNH/krALUIlY3wJA/iUGEX+RZ2Oy9jigJOeQjH8vfyg+pINU
kBVO0B6jM/b/lz/rL8jIULCVC0PadOFg/kGLy1JvAHyEczDsJIYE6KwEw/c2XkIx7dSC3s72TIuI
cNsyc/Wjbs2Aq8ftnbKxRK+qjP6qMUamwOBXVno9mFtFGbkrUwtHg+0ht6dPp1/XDIIuVGTxGiJz
tvJ9CSkXWfk69eXwhE+JtXTE7P3s+njijEIky9a16WMEPulbnvrSZkWzBwHhb20q4pWk4FnqHjP/
aSKvYewEMXhgbfMFLn04EWzDl0nmoKuIxvzJKkrnOUP7v2fuSJxbKDdtrQhRbTpBtnro3xAz7Oyy
MUwuRmB2zElri9Bz5hb5E3SNcmt02nSou2TenRpSvniOKrAHpQWD47Ty/VNejYRSRY1zNUST+ND2
BMtliTp3re6eRGSWKyf1/U8JUmWik+IOZ0CLkSykuARGW20r5WW7PgTGjtb+nBe52leZkW2kFlPd
U+beZMo9+FlMHN4Q32rs35jLEFGpj72zThipoJYs7bsKkQvAbkssUc5YqGaGet/Wk7bztIneUBxo
h6TGqRIbJZp7jRIcHW9+KmWg0MbBvolY7tuLHlI7GoA3rnwvtbcWboiNUZo2v7WeGE2iWFChRg3d
GhcA5cPnkfbiuu4j+moqrs8T0GLS6WSykdD6V1oxjB+sMFIvLV+ugmm0SMN6qxdsM2COGFvTwB7a
OUhiosiTX5xQxuOJZlF0AhFAS9MpEPgMQ5OugeB1q5Ae6o7tSLUpJU2SUcCygs5hMLxuCJxFwPDi
VFn/1aeLtZlENpD7gClmzXtjna2xJ6aYBNj7oNWje3AG47MmyeIhONMWJw259NHR2APkqeAmhy5J
MYVPrxDxCcwDelwHT8jsBsZXfkp6/T4YNBwDmmmVOziK8XnISz50mdndGGnlHq0Sac2CrwfilJAW
m9q1Whui2cO50y1cch9iuLizLjOcNlFmdC476crcYNp3lga7grnVYqS7kcH2MiOTDYOJ1eL/gO6W
simaOmMVlb5ase0KF4MxpbcgjHauXaIraLPyVEnjGd6M8q6wKQ7BsdCTRxlW6kOa28RzObqGAbO1
PGObNOxw1aJz+8z9PFmgM9a+N043Ew3W27o1nJTUAJMtlZXhn3Ca9t4uBnP+EAdsBJNYXWDUR2v0
hPoacYJ7IALcQBMJxYVwaXSTHwoQE1G/DEE+7gpLxdW9ASKR0SZQqgwhFgKmXB0y6I61hqs1IueT
hZLrnnbFtPFkRK94nfue+DgFZd8sRaH518j2U/VIVphRErhoj/oZOH3rfQHdguwpnNwFKxzaTkuz
1oJdGU+uHWOwSFvE9ZWlw0vsEjrigvH+i9I8JB1O1omc0XeCRD132hZeBlUVIm22Ptap91P3IR0L
+zmmROVJESSm75m0im6Rlf1wmzXK+kJ3tYm3dEk7mvljSeuv00LYlQ19ZXed2TGHnBK/kot0EPoF
WCmyKOKN0X0zNQ23rH0cEYcRYGzDrdNglRIZDv4H5VR+g4PZyNHKtmVgNsc46W2xyvNOw90xKH8N
aEvekAU0bBDn8J8igeRd2VxjGqXeeEl6Z/bsIbxB8FyVWBhSt99GVCwn5sAgkEKwpCBNvZUdJ7Nl
pqWIQskebCFXOtucANvbzEiuJh+t46LS7fxqCOzg6BWF2uR9YwUMItCXz8HzBVmOWasvmkgacwUI
sZKRNe9qxPrly3Bd+WQVbYQKxR2j6WgtjXrSEfTZ2kJqWXat2GB+cDolrxvJeMEGukfHwXSPSGZM
PDW4SOLB8rdNRV8EKXKbiEVKYPfncixf+EZV10yT5KZXHtAwjBTOwhCluIMv620GInPvbcuvz5YF
CECAD9onWFFvQOlpm5mNcejIcvvMCNZGyaOvaiX9PUuntwNUI55ipYcrRMfOx04vAZQ0aOt2kV0O
R1BO0wm8AvS2ckCG0I8R7QuT7lWZd9eWP2zYzMJhbQSy5YbkoWIRsT9Yo3SYbqFnR2vACNs6yYp7
cP9ITmTXbnWSDbdU5XbJfIJOP271btkngMYUM4ZoVQ0GviSTJd4lNGrF/AghCMe/G0gGWhgz3dYn
zeWWkXq/7KYgXkPF9LeSE5gZW12y0HsrYGmcrCfTLCu+hQymnzvUOSddTforDWOEiyhn1jFCv52s
S5NkZI5nuBgMCgJNN7CKinWFKug6Fn35gGytPNHHrG5tkEVXzHOzJf2S6IrWU4iIIeiu4xymkG0k
cg77/YSYIbwCeRU8Iv0UuE90ImGiWlIJpGS8t04ulnlqEt49gMhbhrz5tzZcIwyzsnqGhLuk8xCv
kNE056q2AXxaqSP3KX2mcyyD6ahHcf7S1z5KhQGbeTzmYh8I/9GrMkkHhbZjQpNuQQSquWbUVzkL
oWtPQ+aJtQWp52SHoTiaWh3Cyap8toEaibDovyw8Znpzrxlt46za2mc8Yqlh7WoMi+pukO6ytIVa
0jPFYp35RgNjzpkFGSKWus9vE4Som+hH2qprVhik7GdjoHmBTSJCp466hq9bBS2Dt4phgULcFDk+
nzw/RWR0qeVYhP+t71//N/U976GO/vm9hkb/P4fXqn4dvy/w//mxf02xzb9cQdQAKQekxvyd8vdP
ka/sv1DQmDBPxBxfOe8l/tXi0P9i+4ism3Bx4N7zrPrfgm/nLx5hRZvD/bv+/6MWBwyYN4JvfG6g
4h2d6t5QFka1HwXffC4z8CR2tSOkIDSXWWVCZvZz4qEhANvHQTBbvPPt2jvkgnD6fYfU7xwUWpdu
YywLIA9pg6YkpeFoVYSsY49HpGsUqPt80AXhGWevwEOTmQRbl9FyGjTiOlF+mSssw95lMDL7SWbd
c4KQxedXXbqSZPYmzqdzXbkXFC/Yi7Iitha5nGmNtg5Vgjy/6UR2CmRJJ3J0zPm5uWiKRjy5sR5J
XtvQ+JBlfXxg6NusYUzDsS74wV6SnYrZe7hOhxyniqbrH7zJ0IBzaO7X2qgYAhe5OfSLjs723u9o
EyCtiyFldriep752l5NFotW3CxVPIMwqFbxw/8Olps04sl7vqr0dV5OzRSxHKnWUtvsJQ9MSvgs/
WNs91HIjm+1BLLmp+9hFU+kvs8Rhppg20wm1J9NVwwU2IyDONH2NyFtrObru9KATI9weddi4yz7M
wTkG4GbxhIasUguyDiY8Xw5VoVH42se2Ne07PrJs/WVr6leVU7ti2xNe8gAZDdcZ2G39qQI+h4dv
EPy2hAnJjVMk2lc4Tu4SeZp3YJEOvmhJPVwX2Hm33/4+ZHTVnid7nuTx772BHypbZCmTBiVVxlik
arMt094O2zB1W5hzkVHeEbk6dS3D/yY0rnxHZ2a5aBukzVfU1kGw8xI9nvikNHP5ays8ZCZ05XwR
0S+aIaPxYbLyfVdZxCeAEGk3wHXBtsBnkRvGIA6uXyaAu5bt6ZOL7fwQtSQoc3QM1zVK9TW+B/sO
0m3yUGlmchcU1fhUFgGAZfzWl2jqnA1exEqiXSjNQ2a3/hENY/AYjQV1BnKFo1Zwsx0JCHwRNzZR
HXPSTQR2em1PRp1tbcwVC2YZ2NphtyDEj4rp45T18HAt5gdJYphfe4m+g8Z9muYLnaH6vKmMwnjj
RqJBxZHk/C63TdCRIAxB0GjRJgz5EFe5itaNH9cfvNQdT+EEG9LM43DFbMo7pZCU0Vr7vbPVG1ff
VElgPiStE29Thznngi8fZusBNKazjXVR3zW59WQ3Ca5UWzzSChvxYXRlHzCdnbRp3cXJKfW9qVnW
upSb0JmQ7iqjWLaU6gcfIjgGhdapsDsm+S3t+PRcayZV1jimt3Zo6YfWz9wFA1CY8viZZjN8Q5Vg
TYfAKtmax0ZvUrrY5v2gS7GwSUcaFl4Fx6RHpYVgn6x19sAhD1XvxZus6YY1aXkYmIUXwUTvaw0L
uFmfWpQDN4NjkmqPfuS2sX0wB0HHd1GoWrR8HRO2o47mWleJW4btiuRT9dSBiDt5OkloI6pcPho5
4m5u/VTAus+kKXsqLHKwF2Nkymwp+BmI7QznVlpUAZIgFhLZNH6vCI6yHqxBlQLo0eJsuh+YIa2n
qAyuO7OoDpMo8gdN2uPWKGHlrc0R1DdmrEJo62ycqPu6pMHzGGQ1vvwMVy80415ftEkvVp2U47En
gf4cDFP96HL+5p4G6hDtizRHIi8nvzq0HiAcbZTtRAvQiUH6ZPDkF6KEVgucCfKtygDVVokRXKTy
SdyGCsgEsUqjY0cdPi67itJQRAbEBlMWTGDcbthSFGXLfkS0OYlyXYWjAfCwVNf52MJZByWHu8BA
u+32Q4QBOkuaYomlrmJLGAMHyUiNRSgznQ1K15RZUOuxb2NlKeMGAviQxock5w2FJEr01be3CGWG
fTdMrFEVRqAVo3aW1W72EC/UyBemymW2pYtTgc3GGszr0BsfdHs+UBNA/IWyxV+CAWI69aLvgOL3
mptd87Ufr/Ft5yObpIkEwzabThVOrf/Of/5X5RIlxGwn+8/l0uk5zH5ohf7zE/9UShIrmyltPK/G
bIOzXYqef1VK5CE7Yt69zPMeB9rcvyslDHVzbqZDugsjaUPQw/zHGgejDrWforwhjFdYBl62P+iG
cojvAXXsU2keCn7PnD0n9bepYyOdRbMZtWmHQHh01/Z4cqKb767GL9x3Px/C0aU912Iuf7Ktv0kx
8vo20fz5s995JlMdZ573LxzJJf33Nf8/HGX+K75z+FWeS7howFFU9qnWPuXDa/O7xLLfnciblBjA
Y1aWdxyinc5KnEds5tPL+2cx/4rveIEW1apL3UoSzRwtxf7ox7OQQ2IQ3Y4dv7ecctFpLlhN1sc0
JXkngF3//tF+OqFvR/sGO0Rv+lNGqxrsobHB8cPv8e2FIL1zEabs6hK/SFZ/figGkXMH34CCYrzJ
JhO1LAacM5xY4PgX8NLYcdBfnWhUx387dP+j2/Nt6T9fQ+yesxQWliNu1B+vIShXMSYmh8qqrL2K
kybeSXgBS2+YBsZ8Q7rNO3/8G+P5Hw/6q0uJ3AY9l0Pfg/nCjwdlXqYbGo683YjViy4m/5KVg8NT
41/vX8o3QVzfnhHDIGGKeCTQCm9zn2JTK6ai0FAWjQEEgcTTInxaTrSPDTEssEKWtEDQE+GCCU5Q
WoffHH9+X98+o+iQWbbw+bI0vXmfR98qAhH79c5JtWENPsyCStffv3+S8/Pw9iAmc3THZuhNlJbx
4/UkI7TBSWBUu6Yp9a3qA6CIvjK968SAAzsxTEbf5xKMUaXV5v1D/+r5Yf5hG4Jgu3le/+OhXdsa
dOwA1Y6Z5LguTJt5CXsTtVSamE2LPla9MUAC9P5habvPD8mPJ00+qsXJsnO2oIm+ubJ1ohWR35XV
ji5i9TlXEmdqKHpjrXpWHduLkw+mAHgoEvhCkAXazVCb3IJo0Lfj0PXbsKiqB6oWU8cqVNMya9QZ
E11nr4Ju6K/cSoabHN/hymzg3Oh45u5CzJsUIGkbAc2kSlWRAhIsCcdw8uJT6hQrNCb1mkSnbtfS
57exL+BbdHW5ijUYwkmBSCsu0ffReMeiX7URDadEHcH2yI/MBDLYA/YYnJBey2PiJ+NyAo63DjS7
OzY+fjl2aLjssLS0V3B/p3sMDskqKAKIdSRjSCNVBy9MidjVyo4W5ZRuLaO+smKjuR+y0Tr3Xqtv
tVYl65ym0d5KBWOVVrc2dcwaCpNePzkiTtdkZQwMEYbug6kafknsNFcAEsY1glCarqDU9BPR73wK
aRsufSSAZy/q+s9uk47nbmKXu5TewGPQRRwvnF77THpPQUFjYMUEf7qXvbRBxtNJrKoBEaLNqO2r
VlrzgCdKmgfXmOHbg2ysc9fRLFPzBcYrcMpHGwhx2qBqlaMtUSF4DUpqzyTRyPJTonIyVSz5++Kl
azcKAGukXUe+9drUAIn6sZk5rMO9NRmvLka3j4MBjtlqtRABBsW0GEsuSRXwImW99Tqhw2RmQGzQ
LipZMaKk4CbYbIceWsHvSxn+4RtCQZi6dv0Qzo8+jCZ1JH4qOBVp7yGSrPRtW/fBuU+MaO8zEVq5
FQjb3mCnmjOgjxd8cPyli2Z0zf5L0CFJHP9gwyLfzUHAM0ZSLssyarYUwzFt5ai7oznS3jUovJZT
5dY8GE4IldYH1y8SLz7AGCD9TcvbdecS2uGQ48kAydS9VVoR1oWgXl03BJ9Ee2p9pApJiT1zKENk
8NDH9A+kxfvn0acVH0GRY3CFzusGAkjEPMIXW92qvBcUsibeOEPzro3exdIZB0qxY9MZC0WeZ90Q
VGSsoIXIJb4/64A9rrwqkeoTAjGRtuEW8tbTTGLOisC8VXrqX9HOeUDJB3lKBUgkBrsTuzZgvAeF
lI1cC8BsWMZh4L00A9Y5t+jZQplINrf5GDhfrSh2vmI9ZrOq1f2xQjj0EriCMVRbWvqCBphYa2hR
gQm48/Xw6LiuAIoDx625kjRnE9IaC7HTa33coSs1rrBUWRcxxKizyX7AlUkMyZbmMuOL3uqfHMPr
PqHxDc4iLcWuC+leI7MfwiWo3c4Eiqo7n3W48IcybdNrXJr9c2WaGWge370Z9Mm8JG6DjqausYVB
XLCPvYFmxmTrsvGLyrnFnJU9j4Hdn3FwDLcD6NTroS7llT6o8VSXrn2MCzPb6qXdLRH7yLuCeciK
XCqyznvN6Za2MDhAqc+LV0Ka/bmCXo+eDtK3Ik9FkunumHCIvF58JbKsoZXHJAEvcBeh6pb1DsNh
vY61tCYOV7eRI7k2zKSi3jY5M7BVXYQ1zILAWrfEGR2TXk7A6PMyIOQk9fwFLT1+p+0F0Epd5YHs
y6YDf61/MfR8OozxWB6Z8aHjsz0EnJHMSFKw08jdo3SwN3kUyRUGOXdv126+afDPrHE6a9sK1jg9
cMk4c4lUFTSrK5q1GKtqr1Vi7kii9d54gacxMmi9am0I+HHYRrkOQ06BY9DuuM0oAl6QxjQsY118
TnLL2QaRGJcNq8AnTKmk/HVK7cAKdK9KZNMGGJZ9NDI92/Yktjq0FKLiuY5z/aVR2aycckPva03r
5mGsQQW4ugCYOP/vRiZtsHkwXcbBhzE0AWe86adoQOlMV6xz2JgyiOHOcx8dRgk+ncdvh8RyQvdT
1iDVmYe7M9CxES8x4KNHNTTgZ+xgblIi1oCXJccTnuBoicjf+GBlg/cxsoL8oQvTdA6RoTtlT946
ZLPNt1qky74ULo2NNj7IvH12XLPZOwptBXz+yF45XizmzzudxbHqroms4fJlAa2uCojhCUNBd9K1
mf036vmwA9Q7Gkj2dbhCQAp9mDxdeohqfYhJNJGExZHaQ0czK/iDxSCnnRvG8k4favHU1N10Dq2a
W1fM7Vq7cDLqGUlnElQfhw3nPKRhYgqvVwBdc1VqF6zjdES1gVvvEE1ylSuz2reJGXxxdf7vOInk
XVpJ++jpubtFckKjofRpJJTUm0gObFCV+HweeoiM2ywr5R2xTPTxrMpdOk2Tbf25r13NH7va1dGM
MmK6/dZDZvTvLnMXMxPk5uHWBArwrKfky2YFD7j0LBqVPNFLJaxmnVoie434hu+NWtSXOkYRy4Pk
32LY8G+aqHWhBeAOJXAHIX5VZFsHfdlTw14UTltoeCBRMkpxgmPRH3tEfDRNDDFPE91rl3nafTr7
qaemifSVo8l/7lPcDN7XUdDwHiyThiwSjms6QtrF92IWGTMeDxECgrVmD+HHrK1xquUdIAbR2o9m
O1qPXTUHuNjFeM2XCq1gGWirMQw1xBxWsFPoAU+Tr1UfcLZma5S06RrbJ2q4+ao3NsPqvHacGyMW
G5GRv+5WdXS0q1xHzBDkuJanfpnzIG4GOxdHVcImzmb/Tzo25rooQVYOlYAvQizjeGiNMbnxnHnG
TjZUvPz2LE+OPp1dzUIbQHPiODnhcK3qbFbiKR+EfNOVoLez+EaUUbrHMi+fXM/rto0nmIQ6IR9D
NDLc/qmcTnGdT+iKafD7vWumSzHGAUsgA4JAC1+qeByuWRRGpEledqOqaaKrTHd4MdbF+ADiwwb/
MvXReoJDv1F6jMfLpcffxiq6AU1C1oNpxDCyU/sY9RNBZ6BNcf0Uw02paj7dOKObrcKwYuIqS1VM
S6zycDbr2MD5NnV7nBOQdDyrLk59Q2joMlNZfkFck21aFhxqoEzVR90ympvSpw9ftQS0kGlK9nCP
Sbb0vhG70H8vyjjTLrUQOWHJaUfFbJn44DqWDeHXvJqNXcAQr0OGyU5Xmouy6LJto2ekU7Y8TikB
JQfTDfUX4VvjyUrLGrdFL15G1zHaxcBYAkooI6Og5sUkdtg4TEM/nStycg6yt8a104zVHvUCzTlz
7AoUVK7shgWhJqx0OASns4A8TSy1meRsSPmPC0hgH5KnF3RXbaNFy9kIdxuZOlrMfCq9Xa1H1jYU
5rSPHE9uezJf5jMioW4wGLfawTXOQZwabZjeYWRGQuJE2XoqAg3DSw7p3rShlJNaByPTyMo7szNH
GtShdvS97rYtRgWauCQJJdJenbJRG/JGnswWUmzCtP6K04hXichZOW2/rjaOU/XrPEHY5HkhkhDq
EjSvdkUeSinUmgoxOBSTnS4bzJ9GEebIPmT6WWXa53qyb/CUmBtjIJ2euq3cOwFMHrC3lz4PYP07
EH5ZrWCfMfnX56gVNFrVBv/Ik5aRdt1E88gkxLewQt7rz+FDhH07jbbH9W6tE1Vwvhkwd6oqgzhT
p8hOQ+GdiCH0l3HnA6YPE3w0OXac7TRFwSe/7exdPOgJaJV26EimnPK7wpKwpRNfYNtIjeAYRLK4
RS9bPGk+QGS+6hC1taL9TISgvFMk+w0rdFzxHl7EdDAQwmwtCOY7LYjhR+V+ad1aTjXdRr6s7go/
jNddClgB1dfsoZmkXA+kAzA1CfAyuFO0AT9NN04k4cGP9BF6ZgPzqZrSow4zdjfFie2SJJb7zFo2
Dti1mKCjF8p7/ePAdvyku20jlpVh5+eujHDdG3nb33rTmO+bEUtUpOHraJAYr4wUIdgidjWYelXF
XVwNnv1CnAss0C6YxhsLuPc5s0nvRNdVfZSkAMYIAQLjenTc5mOcBOoQg8p99EYlPKILW/NBzF9I
qaeojgIn2A1Z1h6D0MHaiGXqMWtMezcQFktan98de22MPzekpmGB17m5mKy9204V6Ze0VkgYpW49
13WUG7wihTrosWFd4eOku6LNujb4KQATw9pq14S2Wvdmhusy9mzCl0KomNe5Nr7GnXKeDLL1QCFP
EJ38ZNrYdRKRlo6Tihpv4lMYpEG7aKEgreRYsZJFSbSDcgRViqE1t5ev7WFkVwHuwJwYhjpwwQok
hmF6wbCKgKKhocUqv6BnS+qQO7Ip1otHBromAIKE7oWwVNlC5XVB57syvZBpl181U2LsMdxRSq39
dPR8E4JP4bSgjupeQxlnGVJ7HRllEYFT2Xvmis5DQ+wsgvrW2bKLmePUQjK7TK254qMIIQfQ4POg
m/l9VMblU9HCxdoWGtqxRUgaULwlGdODzgfVgs1Uk50tUyd9sM7D4VOMoA4DX9WDNDfaVwZuPW5L
R78aXCc7mlS2n7NCIM3y5umMFl9PObRP/K1asm1iVS57btVV3IHUWbhl0VzTCPSvGQBCp7QSiPqO
Y6Pa8yW8kioyiIdQXxroN4uWb5q7aBWzXtNrpoObY4qJBU0Gy0+Ch6GqTT5cSl8jYfHOdWHmL7TB
PllR3X+yMGJOuBKsjZLYYzAP6NuonFjZC80EHTSDbEDXzubIsvpgC5K7CCupNzJoxWbq8BPYPPE7
zcmtbRBIBcRKjiwuVav2QeqyN40M/wU6PQwOVsKFbWr+xvEHdWGrw/cExsUnL1ViVfjuozVY/VEU
urHltxigicvmzgqtLyphnNjR1HrxibgAMNY7RF6YY3Rygeps4WNxxQjl3sJGna18LhfF9NSj6gLr
EnY53sw25IWt3GBBYkK3HAM4ZTbQFORVxi17kAcW5PhmKCZ5KEsmjU3fSOJUMu85d+NpmVS9Q5uQ
sAPIp+BGyCBAbVlR3Q41NkOQ5dmHDDsrFS6o9DRt9o0zpmeCu+StglqzkkjcrnUmgV91P8PliAt5
XbWhf/CyoL0hgiK4SnA43xHI5GYYliZPaz9GmYYdPa63KcvtuiO5lYnuIM6e1yKI6ot2mSOJQOXM
yLphxZ3pvei73E5sq6S9+C3O2UEJeTDnPNSmrz4FbqZ2EcEYy55CECSP0rBYut0VpZw69FYKLcQv
Y+rfPPvaMkoHm9wUL2YZFR9rdJ1IR/FAxC+5iCJx1IvWOzq9F63olpBf7dfGpTW0AQowMEP3Okwg
4i1zIhOGhYmN1t6UGW3kpRNU7nU2VsklS7FxpfYIHyHEDFzQwrog8iPBh0hlMVGqVKVZHcTUf1Y2
uwaov+mSoopNUtkhgNbjaI+fWl+zndhphhEdeP9tFBPyAVn1SJBL7u+oChOyPp3PtcGMF00mxv6I
7yvJiDtA9s+KLQjq7Cu7EgCEExweijaR1jr6Zwv7/tHKSbuRJXHODLirGx91W0c20NeAkeStLTTj
XA/u13KwtAefV+/eMFQVrOya8GRkpIO3ApCEaCyz861wh3ZthCUxaI0Pqhss4/X7jdCfu6AYkyzE
RfNwypD6LN//bpJj1q7MFXzAnSqj5KCn3b102ff7kt2tq2jkv3+4X3XuTYYtwsKs4Ojmm06zj0JU
15yRw9WNfSmNcssOYIDCosRvxi363Dn+sb/Lmbm2YVGGO4A+3naWUfT/3dSWU9t/rr816Uev/YLl
Bxdsnegn+kpiK51JPAdQYNDI0I97/3R/1b3HQiGRJZiG5fw0PVBmM/W+qHZgDKwz0b+09IiM/s1R
fnVRuYVzD1sw+PzW6f7uHlqDZ7VWygzm2zgEDjz9SJBsC92Kit/cv1+dkAU3w7FwUTBinP+U7w4V
D23WjdDadz2O+ZXRk2Xs5J/+/KJ9f4w30x3YPAbqXJ4RHa3oBCPfIoXx/UP88uHg+dO5OTweKOF+
PA/XjRysFU21I7CYB6EVxsHIM7rlXR8+BRqjlhLlNpnW9Fohi4o9lL/fjXZ+fvUAvmAVwCxAdBkP
6o9/g2UXranlbrnz9TnfO29IENTjElpWhG66cLPV+yf9873jeAoyIoupgSPozbtHHJJw0B+VuzQb
WKXkeFaBrn6znvz8LGJowjRp09+ZEbVvDuL6ejORDViSuObPgGQctnnRXSlcfr95FH9xpNnWZCsL
FI8JxOfHy+fWIdyL0cl3LG3gBbT6CMbsUlTRw/uX7Re3SVf4pHTuFSvXzM39/pGXRRqbboWpbgrF
ukqeNYc0gjhb4rk5vH8k4+dho/nDod7MbdmoSghhHKolq5uUTQt8XU+61WJwu3ZddkiCRrgKW5sm
aLUqLVp8SCu9jxj7wSFMRkNAhKJLWLOXTiuTLlhqTfHBdqLi0JiDtgc6Pp28hGLQKhFTtj4tY4qr
Zp0Y2EQPqkuG6z5vaWONrUyW7LWx3+An+c2JWjjP3qzNjDJp7gteAN203079SFnVTDdruaZ10Dy6
MBmv9c75MEoZPqdTS1pUgtW9SryP1TDbLeORjdMg91Km6xBP+VIvCYMx2ntiO7NlQwIWufPg1pzT
5LG7TPMY0Enc03QIYSp6VQQYxO/htlSdoQ5apLXLwcqtHQOuftU0jkEMGmnp7OPVVWyhZYhilyAm
1uuVi759Uj6ROZyhy9UyNIpHokRflNdnv/lo/eJZQ7imo+Dgm8V3/82z5qUdYXjVyHWJtPqq011z
z10fdn6E3XVOz+p37z9yP09+YaIoyyLTEdkLVOkfH+4yt4gJQv+1c2ccBU2XdF36FVkgZtFsPTTh
V0BOxMUKXf9vhdMfzPBNxtpCSvgyaJTfvr4VNDstaGW2Y687PnWy19HrF/oFP3b0+scnyZSX1YgN
D/+8naEzHKHoHNsMo0VFa7TT6eTTDq4R4GXVnvRX0MM1U7Zx0Rt07t4/+C+WKeoqUzIQQyLBsPnH
K6xin/iBPMt2tQc0peyziz/4zHujsfrjMgCTJe+TQmGkXAhlPx6JjWDt53qU7AzHeRzHrF8ZDmSe
KjHNP35MKTcQTCGMQoYh5JtzKuo8b/2uJWZGb0ErS7ovZnTT9zbyzlh++dMLaAnCr6hvIJcz033z
iGJnID0+IdOG2bq504oxyxkk0NityeSsf3MNf34BORilDaWBzVTr7eerZEAcyDblzDTrEpjaYzk5
X6LBvPi9/E0NMr/LP9anHAp9juTU+LzYb84rNYNwzDSmsWaRrE0aJi4pviA1ydmYsg6qP6FB71/J
Xx/RpRR1ZwHcWyuuZhUK7i1HLPXuEOPGyUfsYlVcQuqWwDNa4+r9A/787Fs4A7h7c9XBEd88kXbN
vqPByLnT2vYAAn1nWfFNKMVvDvNzYTMfBo0MNgiqj9no8P0XunPEEIb86l2nGdpFU5m1J9JNW79/
Mj8vlRwFz/QMBhSSuvHHoxBGNsDy1slxNdnWst1bJlH7VWXyHJUNUzVnWppj/ptV0vj5S8lRWTgQ
lNuQ+d++ahiVGhf9S4wPE7BDj3OYb12BKnVwGdVNGZOsmqwSY6HluHKXZGGQ5lkLtW2G0t8nDJMQ
UqvLNNrlB7eNY9I/CoqDuSzADWof0cbIe9fo5c5v6n9UrP9xjf/ljXHcefOjO/+PvTNpbhtJ//R3
mTsqsCWWw8yBIClSkiVRkmWrLgjZkrEDiT2BT/9/QLu6bVotVfVxZqIj3FVly9gy33yX3+Lbpx+G
uWSc095EehUBePhofnquKZodb3+YV1cZuErXNyC6/JZyFnbNMRJV+Q62JLrZ1bDTM+Pec7v3spZX
NqzwHXJb4hDWkScLQLg5dLi6JBApCWtNC+O9cnS1fftpXotAKI2CR/Qoynl3vy6zGV9sFfVaBoIA
osfgckwpAW+jbfMvQ2r/8yyamlEYNkcGykkoAvx6Oa9LnAHURUbtGD4v765JnEPRhJ/efqrXNg/e
zI4LJJfC4HQZqzbDVKVi8+QJJLtsMuizhwJqKyTAJhLe1xG+5h4US/vOUfVazAMRa5NX+68UPfRP
9Niyh2wXReZ1V2pPcxptZfog8W4lXL9ztdcWPGUPJhoI0Hi/oQVzntEF9J7tZCThS6DacBjNVFu/
/TJRoPn96OAluibHkQXM+SSu+r2pcDmsM3jio/6QxHq11UAcIwGAIhYNenf8iOZSFfRVhxLKVGbY
X7nWWewB7Jon6TBdSuXaqEPI1iOcl7jv0/eq24Xl9tv5BgfTWnamJch/fl1ZTdjqYiwKThtl0yvs
6iejg8kEtKRFmdn71ENpCZA/oJNZ4g6YjUO7x/Hzz5ix7uzI7lyOhb2niwTtetIk9mU8x9sv8pX3
yGCLFBR6HDTW0wMxd7mHRJFuIyL3LGcDiTwJoirMGWJPT29f65XXgQ4tGxv9AJCyp2mMaUy6bnsd
qX1oPOs0HKCl60/thL+W65dwlYXTvZNhvLLpDIO2PRkNJ9ZvKfbQ5Oi7RxWPl4rPeHFogcnonmZm
M6NJMdUf62as14xkh90/f1YMSP2lI0WCeBopbc0Hc+S11Y5a7ap2xgZ4bn4AlhzB8YseECON3klt
XvuSvFraAKhJIJR6EsbYK2PX2nW103QsZyfoc6sS6/HDWPvFrnAopN9+wlfOHB6QHMriYCNZPNmB
qKjacVLxatUQAeG2m3Gt11W9toDF/TeX8nXf8nDaAXR3ciBI1066AsODneFX5Y3Ia5R43c65SHrD
eCd8vbZGLTbUwkNYIM/mr1t2ABdTznQGdij73vdx9SJEfZ+3fL8kqg9eX3b/uDgigEG6MIVhgiM/
3YCGouEOR7/czSaWebo73jZ9s5b0Ad650CuBGWyxjgs4nWdoHMv3/KlvKecRGAi6wbs8Ep8ipc68
ub5/Z0lYvwe8X65xsiZ8LYWgaXMNUL3GwqWU561oxa3ZO6iz5GPLW9THlRgbHDudNPpYIUcFYoCB
DfS3jOZfDySqTBj34LSOc71hIPM+5bvE6iB/2XZ8MPEFQPV9CB9DqZdnaBMwm8oWk2tcD9C89UBr
60rdCAMhWDRrQErOfgHiojTabFsVLbYfUGN9CigVXae5TnZYQQkss6S5jrH0OTOadtrnApzWYMXF
hwEn4J2Hon5SZW3AG86wl6ZvuopBC+1AKCG/Nc4SL5ZYgBiEgVnZGMkuEq/bt1/va2uTUxwZDCgU
zClO1qZTt3U3OaxNsIJPteqePGwBbeQe0MRd1ISq/2LbkXOT7NG+Bxl/cj08+craiqZy19Xx0nO6
Gs1sP3blO8nr7y0/m14pCH96mbTpjgrhPy1MWMGx1Si/3IEkPUiZNACHvK919pFJ1Aem0kEvzD+j
pnynZLJevy5dWt4oxfVpQubLoi4ksky7oprmz7HSYQk1tnYA7Y5bD4NzahwUWsNNlw31Oi9BCmE+
RCCvzWEvgPqKdNT2lt7jutLZZRCCDmPByTOIH4yx/PQL/hEU6go8UObOuKN2hkPvBafdyAjvsC5q
A28W6G93qY2WySyjTcr9oCwqXwB+Gzeph32ORJl3C6OL/16gzRy3XbpxNdd8QETovU/xWkx3LNYY
3HgCxSIJ+HOMSPRWFGU2lDu9e8JhdPF41WG44iX69kp+LRb9dJ3TxGiQQ5FXSOPsPJHrQUm/ISji
ePP2RV47EB0kbZgrMG9D6OvXh9FrdDFrXDZ2DJ0QgoBWTTH+qcrgocbt9A7p7NWL0a+kZvFht50W
EU5DMCqRiAOE4xRUovPZYMstMDAAlV3yzut7LRA4tP05LaDs/Zb85tNkYeLULbakzcFERQUBr+kT
qqMvXQJ5K3beeZPGa+vCpUqigIVL5Z7OaWYU+3i/5GmpymOoHqaBxUQz7k168WsEZ+IdwmBdoKRv
3SZ6GO+mCGQzEsnlBy/yoGNX9vTRhRcARjuMUJZ++0u/ensERNpI9G/908A4qrDVcHkpdmMtXyw/
eojN4S63GCb/F9fB0RG0O+y135KDdtCmWALK2VGJSro53VM5aeO66pt3DtLX0laaU7DX9OUX92Qf
WqMPjBsA1q4DOB634NzG8tBU4hyRhuu8qu+L3H+nzfLaAv7pkqcJazrbOAwKvdhpozqL+urFt3MQ
rs55Uw3v1By/iWV4ODBSkTIkI32kFj6pi7rRs+Ws3IIwY05/drH8NmLIHmAX7yHznUaBJrUkQMqp
3CT1AjjWjAWe1YD8QQbjEw4C6NnUi12QCWwZagtkg7hrUCHyMREucyR/w9bbKnf0HjxB1Fw56FCv
Cq3FtiFbWpuV+U0fUVJwKw/lUR2T0v4KTqLcdKR8iTeMmCZZyaYvJvNOgrzksDfFO6vptV3sL0xd
Whys29MBbJ7LtkUVlcxP4sTYzag66fYnIcUFPdNPXYLr9dvL97VPvNAzYAy6NFtPX7tMjWiqSYZ2
Se1rgGP6Bg1nqt+1hRZpuGoXYOrbV3zlETnXF7axDxHnt+rSdyav6Ewr32U+6oNxg+FFGZOhTWnV
fkqxCNiBQ/ry9jWPeI2TrjLYG5OXyhaltD1ZXZGG4jzCscXOKWY/iMfeubNjYwhKC9EJvIHzB2nC
h09tIFtHnLIX49VX9HDZO7BEZ8gyApl956ZeaWKCSqDrs0Rt97faN1JixlKYHd3OIXg2K7K3oNKs
bRs27ZnvOhiNOwL4lMg3ftTEwcRMBvi1bazfvpFFSvi0J7HwwoFjIJbJoM08ORWBRjgFyhXwllN0
So7g5sTK5wMAy1Jc8LncfZcCSYRn0a6inCYySnvMUfE3Gm5Ga9S30xTqn2ObxNvsZv0zaXGJ6TtL
CtpEtgXZI87A5b5MIDIJ2cPGdtJ4A2DQXjda2e1ip3Yxm+td1MIvzCqz7jKrVNdsW5go2EHNn2Kv
989z3X3U+yl7pzB/7fmZgMFBd5cJ/WnjiHZbmiMay/PnmbqL4efulKOST+gJxtu33/VrlwJ9CdYA
NjrHxkkCwtCprovlWPIrrJ1RzlwoPQotFT/Oo09vX+v43U5X/dL9taheOQZPy/9Sc/J+LBKKg0GE
3qpjYAzjY7aNMwQvhnXp5saFUenhTafM8co0tehgdtiP2FYuz2SJ9Mzxhv6Rb9Pf0+a+rwCfFv/X
+DYJDrefvt3in/zDF3kxaP7f/+vTEz41aPpX5c9qV9b3H/uXhDciDqACGPZBFYK/TmD9oeFAP+kP
6iQarL8oXfkodjP28ZmnwasXFrfwl34D8lgIfNOEhKRus+uN/16/wfaW3jVdLXJBKibmkSddphmO
QK+1PQ1yNKbmoMT4BI/YdpHnGev2HRjUr2nQ8WIMzZaj0QfhAmTn11gVCWXnbgx9NdYm+VjalXk/
gdt9yJIOqUf6rfIxouH45A9p806YePXSCzgDS2iixOkkOdEyQ3WVYR9QweXSeH7AHplGxArc3mFk
6CnEKlsdelbQIqn0Xqb561G9PDlJtmksMDNaUUdx4p8LMdNKEPxJc+uQF1qGSpI2dHWg4x4sz5Nq
uZwqELP7aRnefI8VP7tWnwzaflyUpUL9ZyCbdppGw7gK+0j65kGYpXlfgtram4Uz11tybv9BdsK7
tBOLi/dGz6kVd333TKsfgojm8B5qZ7FEcaNU7VqticLNTPh5Iv3Dyi+EhGpcDDKcjHUyL2YyLUK4
8VrR+LbeaXT9mnR8fwzqPqb/9NQQwj85/73Rs3r6OOaBZhJrpc9BdeQg17deq4z7PGFCqTLRPr/9
9n7tJvy4qs/2cDEyA6q7fNGfuhio67ipEo1xSI3BuC+1GaSDW8bf9FTVh8mY1a04EsdcP4b7EffJ
2dvX//WwOV6fRizjXwRYWTenewWGcpnVMEsOjuaoW0jU8nHye3UTDbXxTv5u/JrM/LjW93EZFwRQ
8uuzwr0ARK/3xgFQjLrVJGOJ7QDtOV+FltU+q8y2nwbdWXanjh2XdEc2y5HzhxWX9s7nfu3BaWkS
LQ3gVL+tWhOCtl/roX7ou5pNYrs4il2aXYGAbFLCHnv7Nb+2Sdwlczr+D/DHyaFuyFRPNGswkcME
e1biETwHCJDiIuLq1UXRpDbWJ211UdcJqxyavnFVDD4yflOKSdYKq5bqQoOkdRvVAg+wDJTJJQ0m
f2N08B/jGNkw/taUXSY8QIrkCvgxvpOYnEzPjh9wUUsELMNR4bNif/2AaR6FvTf5Brj4VK+3s9s0
u+O6QRdaPjZNoQW5NxL3Jl5g4Y3+JkowFAmYs9c7ORWI6SYZU+2zeZzzZm2EevvsNbq6fftlvxIF
XVRV0EOyudnf8MuaMvuBBqtxELPLCzm+ZkM28tHQQ+O+zpv3VvaiFflTdgw8mfwcwRMGdoZAd/20
Jis65OP0bGoPI5SPC9EV4gmhn+UXK8WGQMfwobGc1sGSKQRCpQ8pbjUj2th3Sb+IEFv4kT5b0D9v
Up0IoGtsgoSM7dJe1sTxFbWcGs4K9Vj/sh1cTJuYHl0itGjvAcEbV4uV1zul/ffZz7+TQx6LJ+E7
W6xciqLfWmEz7Wu3TqboUPFTgS+nuVmnrpZeI2M9dbsSibcRDP+AT4YpNPD8yVCE8daPUUle5Qu8
JZho7gRmamLNUcDaG2CsLql828OfpK6EqYhI/byGOOgzxkAq7KPUsN1a625VNejmwr4Hko0iwVo3
dXYGTJp+wxHgAGtM4fTYkOcOjFfiC68t0ksqtOoKHLeL3HvVoDwnzVz7bExudm1UU/5VR0l/nZMH
xNjQzDNqFWqInyeBp+I5pLNynXSc3+e6D2IK7l8qb2o9RhRaxT6jCLtq9bVw40XzyHU1+dCXeTqu
IcC4d/5RcKTGd9ZZNeZQD7AtIsaFPqyAJnA60/tSazg3ByX0sgxDibkzV4jDwUg3MbjT9rBr7Usz
6mO5kgPiKRgN4G83GH3g4szcHLQRA89VKrpSBHVrAlkp0EuQNy7iek2AuHAM3TAd/YcIS8MHmbFG
0GtjyzkVillUFIhQkxr4GxegMXcHueOp9W3ShNIj2pACEogHySnQJsDhV5Pb5vE6tEot8NowRyYZ
hJx76WVu1nMyG7HhITVX9rorob3A8/jgWFV9qSmmflvEMIo4w1tceXs7SpDhy/zuq1dmToX6cazj
Rps2a3i+Ea5idrNtfOiOdSUfR12fPxutl5ybg6fWSxvoy9ThoE7nvD2jXxBuzdmq/kRKWHymhShW
tSPjZxaKeonQ4MNuK47K9UKUlUEcwiFH5U+sC8MdAhZWoVtIiJdKeasJcWG8oLtnu4YqpnBCkvea
8JLsYgAbhEMbjVlIMi6WIXD0weNMlbsuXMQ6abpPNh2qbGULPzT5fwORSCEDKIaaAVV+QgewWHuZ
4cPFjAfH4nYzEJPrqZ4KD4r3kvzMQt1WWcabLvEVvdAj4BFEe81+qr3RtTY4aSNZg/5j/lFpjKtW
U9hxKNDE7YPB9YkrfkWsSCZWJfb1MHG3dlnzdyAHLh9he/NlHQNU7ypJcXfW9cZbj/7I8iqjlk8P
6vGxQbfl0LseEpPz5NhPoaAxhvII+WqXI9CQFqN4goflP4ym2T63c7w4rzkEHps45NqFvylgZber
mh3qBbjJ8Ndjq8bNUXFUF6R14QM8aG+dTUV1gXOLeV/rYvlDQIIvuw7V2xXhLEQfyvaLaG0YHf8l
wgyvRWUdxryp6/yH2cXebusJXk5jclKvutziTzSxkV4hsE+I8WleXEZ14V/6bqVu6WVwqGPYqpDi
J0aSw3mXoeAQdVOEi8LKa59rf3mVi/z8fdv2/OPxbou+R/7dQg7npiLtNCEWJtNNfcxFstyxm+uy
wNEyigbjit6PcTXYZIaTOS5ugLO/gRo13fYJ5YYFWhyLWZPjuVNyXE9L9jiZvHujmHgotiRXyuKh
fYbKrm7T5Z+GBnEPNMfIPvVsEE9ezikKKKJ9ljmnbe1H9WOaYfkaqKSdbo+JwpzV5XSOdo/zdBSr
TmkzPza07DbK9NJnSnUojwndpT2+CPoVwvRa4FQh6t1NnlWXLCO+nbncbVnVHDxt1YC55Y70VCcJ
rzBM3UBVlY9YpnOaTxnus5uQZsKT086Y4w6VA2e3bhvufOBnBqBkjEnRm0GUIDgmOP2SqmRz2j1/
L36sJfWZUj8t1jliO3lga1md4pjk9Ij7i8m7jJEceooRlMBvcW64QWlCHUPwo4TkLwsj/ILhLhcv
j1sISFSqtoNqljSIk6dbN+PBs8f2OfdbvpEMPZI7/hWaBQcwDn7EtmopVTB5Tc6MySAxgCK0p8k0
XkGBd/c8TnVhDZpzm0w9PFl8tbnboU8WCg8nbrcsT4Hd3ZUepZxMGbo9zSYdkKiwwSj3H+QYMeEo
0EAhS3NKVm0fY9MLuZQazAwFC7iDRcuvICUe1JC492jooGHR1Tq6u6bPGsnjXDzhzc07xdGW5z8G
gSy31O2UlLyVHJuAS9SYgLv77DDpLJcvxs4L8GQlHesM+YiIanXhoyoNm45ErA4tvipkfG+dc5Dz
HkZSUL9MwgctXmRupsh5agDcXGQoueAfk8yas45QLbxsmpY7Oa5EXGWN9mJMCAHCQJdjAxWH4GNH
ddTe+Co0x72HMkW4Smub0GSiWrorkC15SLpZ+ZB2ZoRtZqcjKTK9xQ3ZRM/mDgUm8WQBFr03NY8a
wE8pQ2wsTe9Hq+ElA74xYP6GqZ+vpsSXj04k2ei1Maqb4xNyEpEjLyABhEqb5OxY8M6jJh9nBkH3
kOvN+4TQjVI0Je19D7//vmKWYm26JUubwbvn3zPG47E5zTorCj1ma295Mc8+C+lflqanodFrFusG
WaTb41tr5KD8dTrC0V83y+3EDk+RJaH9JPuO/Qq5H02KrGRbzZMVrl2UlXHBYXixEgjVP8N5ZnPB
hSM6xm0jkDZhyePykYXqNk5Cx9qMg1vvpkTkxUZAtRS3qhnLJkAtC+Ysujviyca1McGlPfQfysXS
Is97e5+halHBVvXG/LwYHH4672OzvmMuxpgcySpe9LwcLmAPltinAN6dVZFBkCcVQUd8M9sd9Upc
sCaOL+B7LFoK9yE1iQtLYG0i5KKD49oNI7gn2CrIZqfcZPpCxz48HNenbfbhGSa6/Rm+j3b2we09
loin983OFtlwHkcTWv/fF0SB4tY36Q7ZEBTN0OzgHPibfPH8iACZ3h9XhQP5BMFdjEmvHDybacyX
xlUqlm5D1mrIOjjM30sUNUoi0TRnWuDWJk2IRqTJjIokD6TR/pS0qQWsHXvk9yYSIXQL8Ki/Mmwe
gSUHuSJ2qnFt5BE7yw1rTpgFmrCtJIumTyuivZUY1+AVUESJZxa1rhlmH0AFbnbHCGhnuMzhKIBT
cdChhcjxjeovFkfuyLZZDqByNUXWNAZy6AgK2JgN4bbWPJ9w1S93m/Yd28yqJ64byUndFpPdOCtJ
qfbgq4nET0Q8N5rfHqvbtDuNYUWjDEBPSDHeDQb6LLuuH8r42mjxHNqjA2RcNfrAXQjgrDMnf8Vq
141wbu470ZOERFrmPxy9UEp8Znhe1x9v7N5073pPFdemJb7GWqgFmZ+2OxBWmEA1RPYxi9JvEX55
K9fEYMlyKKkR6rbYwIrjEXsKTqQpGeego+Xpk6FMzkOWAqoXCfjSVSXGWSGWl1po13jTABcasTHE
AYt9ImX6wcInDj2FShR7Knu1Kw0sjQI0/soPYWVV33yVky84JoAe3KVZYU1rdt5GqbbTz+sl+J8z
0KARCSicnKq3KyqYHN8RrTLpwtBl63HwDkftLkqhxwRNIfm19g1ekiVQj6EDOK48CzonWn7EpXog
x2FiqG7r2FO3WYT/KWJ0gFDqkT2zFMoZpPyL0VpI7n5cl+FKb7i9cHZpNpkV+YEdjtwpsA/+vjAm
bs+4ZmcvFTkmp4sv/U26nOEGxicPoReygo6FYYRCtDzP81QS8jpiWuUoN7ygnwZXOK78SxhI9n6U
vnHFOMl/QDCqfTbnCWlnCzNzajC+a+mYnJ8N4MNdX0REq9lJzPuBKwfHuOmnGcERpJ21meqSPZEv
+aYMfe+yaLykWIeS9tWobInYBmIPVUfca2q2EKgUktRQw+i3ElsnWiLzPFecQNR2MdSUOHmxB0dv
L2B1suO6xfhJZLV/qX3PMGp6JBonc4FZoL3HjE939xRsqoODhugI1kDNWdW1/TZfTCmpVTrxpGcz
OHbPoGUnfKISfR5eiZtqHBthaFJJFA4HizNMzn1Mx3o91661l0KxH+ZoCQfHlJm59jcnQsOTLlmh
b6OscL2NM3XmlivH91guqY8qdubL2J6Sj7KPsnXLDiE6U+3M6L+bvbtynUI3g8mW2k2jOZUKSKdL
b2M1ltqZkdC+9tISz6nfzy8I3g3fqly1pNtjHmG5MJlw/1v90iApQ7reGz9jSuc06x5LImS06jLF
+btS9bmwVHKVuBLBj9RJPhWyi+6YBQ4qgJMzrbNW6GegR6cr35LhR9h62deqnvibRKknLZly6Uc3
c6lRseZ6NKJW3uk4SaBB7jweuzP/aMLzN2Y3f28IdPZSLeOR9nQMtNzN10pODa4rXft/jr8dvVTL
VOWXf9kcnUgO/Usz3b60qDT9pVG9/Mm/+5s/5jTv+BXSmPcBPv5LLPq3Cc91lj/RS3j6eb7z44d+
zHd8+w9UTuhXYnJCzv+zRjcda0Y5juNyxCyErwW29MPOxHKX31l4vktr+18DHsv6A4wTI0aHiyw/
5/2jAY/4tbtLy3wRMaajz3h0URg+7e42Q0bj0THqcw4etbbsfNvFQwfIsPMOIi5jzLx8jEhXXRvP
YoOES699jDuRPjN2N8mFldbIuaSGRMKP0K9ZzX0/1fmFF/lJetM5ZfMnCvnuo5id8jw2ovyiG1Nz
7WsZhF49SYpzU2FS4GT+sO6GtLxMZa1h2BrL6sMw9XI+KybjLMKtLYjm2JTbYhgb/3FIwNXvPH2R
FurYEZ+HUfXezYRr4tqtkvgyNXE82FjOAF/Wj6SXPA2dFn/uGV8Vu6qpYNnKts+cy07ocRdttbzA
ZxuLhiRWkJDRdxyv4PIwW9+S3M/yCr19HjdWbYO2Kj1bOwSv44Bl3BRVrWsFrhdwXDlTzJAZ8Trr
3SK88sw5xCwtzHmfNR2Goh+X8Yivj+t+GFwjMOLQ0L+OI6DjeZPFiRj1VYaN2wyeO63CLCj6Zqbj
4fQlmQa+7xpdrc63OVuAVtQgBkQq7TnIHHJkGdA1MSG34O/SV3P6PIfT1Ap034poEusBiBaG3qY9
ROjHqLC5wjlF2+skozeYeYV4QGrWahzshn5dXOLVpQ1nwGTMu0xzeuwNWn1eDUY5Hgxc07aokU5P
rkyzzZj3OfXlFCPu1tbbwSuyywZjnLMKM/d9VeE0mZVD3aHgVDlIpuX93iPEuX0MurZA5M5y4uha
mH6JLlSu1sDXszWsZAs78agCROGHh4a8EoN5raODGCIhOWuDvEYz72NWFdHBiur2ZowH95DLbHiM
ce5YY7AWnjcyVgfWQ7Wdhip5wI4lvMnNavqEi7lmBmOPKGLomiGJY+Je+X4WPsSkTDvOB+1aU6Hq
Vi3TwO3gNtZl6IT5GWTqZF4bLtp2D0z5BXaSufOxdozyrp1UZqzopQJaFmltqSApGlcFIE7nfdmY
jkP2iLVnT+dzP6q5ORtz6AGIyVgX/uxSQRhSjPe2b6CJ6clmEY7JmvybMdrQFTHcFWoVQa3FhbKi
pmSGetMks7tvRnGf1hgZpr1trWxLuZfGJJEwI//MS+jg/XDdwwe6MJSq4CT6PS4wE98a2+LmEOdO
+dC0qjwbQld+Gc34k4GSaUAryTvnSxcbRBRsBIIlbPMpVwfkjeLz0lbNfYQLy+femoticbIwv6Y0
by+0uYRFX9cWJJhc+VtEOV4GH7E5mvD1JkYYli/opnd+5vWfdSfNP03ZnHyyxi4Rgai97FPNsbYe
M3aYo3UguF1sKn0ID9tEOhdjlTqYvCf5WdpY03UJjuV8VK2Px8+UpRIdGV+7NlCFouhDhA2lYD25
KcNUnWM3qZqgijKsAA0qJuDjijZbpyHEp9UoNY+9DMYQdSneS7dyXdCPkaYHUrQjRk7oU4ApMh9s
V7OwU28+JnNzl0rNfUaKMTNXOrpC6NiNDCsDU87pPZbN9kWBnM6l3tly5aQt5WMS7X27dVEXbGq2
Rt/eIV2cr9HWqb46PQ57cpyrGyv05y/koE29MjBRXvnFKMkNI/tjFNsicOqFLDsWeMfOdOA/MFzu
HzuhrUvE8wIqQ2wJM8OYEVrG4iSR0VML+/YlH0mQ26G+pJwbN8IZFcrdvfXZjMNkZ4Ey9pjrj9Ml
fD/UGDIHBH/XmVCRMht/e6NW2hYhykUOQPeqQ5a2pIOyMyjvelKwoU1Ij/Mwod6m98Fg2KSDdluN
Ng2PLBqtu6ELvS/ZWJAp90lPan5sk4VhPN1iIehdVkMpnnrELi9o21MjTd3S3D7OYSKjDOWq9+KW
joOtf4AbadxPhtZeuZHfTwivWtR5lsibVZvEe7yrcKNFqJ6ep2FWV20CHcAfRRV0ugJt7pW3xugs
FtshsOy4RZE7DVscqKR/1tFEvNS6xfsIO+qvdtWIb5VmP2PHaF7SkG67YKqLRbQ23dSUEWxyLfsw
qtj7gENtdgk7zUlX6fw11s16VevLuEOpj5Xe3Kl61gPPAPFVhhQNCT5O2wSaD3312T/URlNtGK7H
9GPasd3Rh7rKERbc2n0SrpuyMT4lELbP0kjoW/b71xQ67G1tIvsc13l1H7k44hhxI89Heo0bhN9E
/kFUBlbabTl8qEo9WvCeIIWcwunObMOoDqzcYl3qlIdMypvnWrWajhGZkZP22N4DqDX7nDuc1uYo
4WmAV5SrPBPFTRFqYpubdBCNsjMDvUXHbmr15BIwgAsCs6zOul6hXdur7tFsEHzKvQrZEjf7s2uN
L+miZ4Ey+nw5jEXUrxzkvmnA1agTt1W2VgUC7ZOl2m8Gus6bHp3CuxRe52ag1sfHFJSx7YHmpLuE
yPxgtFeO7iL27WMYPLVwOxCxtFC9mpH/XNmMl+izxNp+7C/onceBKMcvqKTmf9YYJm0hIGTPBdS+
DX0jvqvn/Rl7+UuTJe3e0jjudRcecS34p1C4qPYCRtgNSafvdRq+a2bh5tbsEuNyllr6FaUdQew8
KmSiT4aiZ35IaXyfY7CTbHGnr/c9Ccmmr3N/h/MysqeKzAtChzjLzHi4SIoKfGaucP/sDE1b66Dk
AFtXA6T5tvzaiZHKCLhu0kdG0KPUthsHi86g+DDbo9yVNsa/OsCObWWIr7UuD32PXgw0mzRASPiM
EK2tJovxWmJPqzhGtD/JZjKMXHcYUFdXrmwOrg5Osa2Z+BbojBUZ7YW4vPW0DmswfOS3IFm9FR5O
Jrr8JUp/6HK2cx5tQzv/YBWadovA+niWO72/s6c0Ws9WccDh6YbMP94yrWc2UGll4OTTAaUXXEjp
op21nazg1MgSpbSK9lqM8n45WDNB2LWuNaBsK2K7e9/ZZoJgSFgxPjBeUGhFe3hKwSyiF74yEyk4
yLKY88DqYaMa/tekmGpYFCy/qtV2jhpKcBODx2E8x6tBMNTUfdnvVdH4u7SMsIJNZu+86KYD7N0/
7dD9+P9rqb/jDWkhbcrU/z/XUh+7p/jnOurHD/yFk9PBvQkwWmBuFprHArH8Cydn2H/A6YHnBr91
kbgCJvSXLaT5h07xBQ73pyJqqa2WQfaCIlkY9OKfFFFHbsm/B+7cEd0oa8EeUa6BRD5FmTIBJcGc
vOmDX2IAlwWAKaZpWzhMdYvCZlihSHpwmIvkRSvs9tmYJlrcuFvfHLsyTD+qC+grDO76ntFcYtA5
niZxU0ij1a0VrYUkRCIXNG6P7nABvTMcbzV3UmWN3fsA8PdjHCq/kHSBTAwSo3Go8STDu+XaL2xk
ASuoIwi9mER875sl3Snpd9hJ6GrYR25vJOE+JAil54BHMK6kJ6Tbd1pZueYGzWrMwqJ0bHB/dYVt
XXs0tgOdy2KIK3UHkzgzQp3UnqfutilsJkdjnlyFRREDiWLoGyxGFggZmojbd5W146GqdT732peR
Gc69R7OTLKKIU/y/xVXHLGhPBy3axlXYPwF+SugCFtjQJVnDZBRL+ADBbUDfga9m1yzP8TSBrUZ3
KiMD3YzMXOoLEx8PCFwpavVXcZQN2l6NzLbWWaZF050GG3/W13qUQY0PbSlM98xMwCgTN/Sqq3eG
joYhLnAFVLBM3RIZk+aDVG1V8hUKsPbF8F/gZ/9f7K4AzaYh8Z8Dwvolf8Le4eXnoPD9Z37EBOxg
2fA2Vj42MEbsmEDq/eV/Jv5wAcjRKTkiWJceyl+tFf8PaFS0AuD9Cndxkf13e8X7A8gElQhg3B/W
aH/1ln6AKmlL/Uc9ENo7v0CMUJnShQNvGuzVAiH7jXaYpUOcMl9m/oPv8Gc0x0q5dqQ1Ivg9F1Wg
3KbotrKebvLKRNk9jwdG/q5PfqjLLfKi+H3PaPR/DpO+wEQAJEaQ0D14UZ2jITMepwFCfTjSRN1N
6WkaCP/8T1sDM2CR9m/LyGcwYunRBsqlQ01pu8kuLIS4S7uxvERFdL7KwabQFO8xPnLx9LCDEPfW
cwcLhnVfhShHUgatsAisV5bvNBeKlJf8kZmApkR6NnJz5spqHLlHaTvcV1rT3dKUtM+bNvkzdWvt
cwKq9T6qS2dl1xSZvW9GG+QirJX0Wnk9KwaahWoPgxc9C4hdK1LjmDTWPNiYcGwpyeM1g1ImdxFS
72zab7KxkpFyq6vIXOFxCJlgMVF3clvPXD0GrudYSl8lbvehq/6HvfNojhvJ2vV/uXtMwJvF3ZSv
IouelMgNgjKENwmXmfj13wN2z3cldo90ez+L6YiJbqlgEpnnvOc1OLGPtn2bWeFDPI1nK8ZRNVX1
PQk1OA9LPNuZ7k0Mr+Tyj+qy0dUl9KTPMeIIUHRcYAudvNCQMGTGUA2e/22hixfSOBh8N829yo0Z
9LzGoddJ000RtuNuNAk3zRA2swQflBNv6XfJPY395RLEysfxcR0J5eyJOjfxuTeMHUllzX3SR+UT
GZHuk6UIKHHqsl2LBOEI7ixqVQ9gSCngdj+3N2R3zYfYNU6Dq8Vr41rdQxsh3WSISGO1WCzJ0G5v
AGoOcTgTueEN4lpPafeZaKIHv8+afaOYtAI1JJc+uSZbRhrWgSSHENO/8BHIyxBgCfIxcePk5FZN
D+6F0T2a7Hj8aphkIDOVM53bwS6dqyoTqbUBO4Ci06Ri3pZpfe8YFpMvGpd0YzfOXV8O0a4PY/po
J/WppX0LhAIL3bTEkX2qlIj22NlidZ60lkURhr9/jjvRaggnv7myLTVeJBDRxp3sDO8xcGV24Va+
+eJy45teD6jIstzONh7PstlZYRdjUE880IWE3DIcm9z0SDbIB/2G2exskBfRNIQ9AC2cS7tzONBq
t8DoHXvYFTNDTqXcuv9v6ff/U/p5XsTO/J83+vVrmb01iP1/wtH/+FP/Lv+o8WBHwgz18U/wYM3/
71ZvIZNYLLFY9EQWs91zqPxY/i26Q0jDGIG+A9x/aiUc+1/IntnzEMmFDpZd/0grYX1A0k1Y4AyX
fRQESy1ou5w3P3LCB/htLcxAdVUzLtxOMgbPa5w8KNCDy4mOwyM6hN6j2OIqMDwPWBE+ogpXYtVH
tfj0w9P7G3r/Rzea5WpwWcXoBd6vi3fOcrU/MNTdWrdFlI7Tlb3M1pNiBpsZiZMhLWwammg1SXd8
Diakl6uuChcyRt4xUY7nPnDXOJrX36JhMK/5O9KRIWtpPc6eEZIE53vxd0vzZf+GpvzOpf6xil6u
GPUFCqqIQ/kvOlE3g6EJ63K4cpSX4Aiu5vJxoth3dkOgG281aaiMmyxA70QiMiiGLkxnX0G9sjYd
5uffwOZ7xssGxMEeafS0GqqF+xF0XpFskyZPbwqUZlUfQUtdVChPfSouCnZItc16wz8vmrffhWD+
LE/weA24tHFgY0bD2nA+EsgDbSSwWMr+qh4gdwBccFoSLsfSaGv4+rh0RPdtbJWff/36l7X247MM
FuMIlIcoxMzlH8tl/fD2qewTF3fE+uqdJGoV6Qg7qltnYZw+/fqXfpbOeGCvZLxC4oWG7CPeCT+s
M6wK9Sy6tLkKWxMOJJBluY8xd7dXRZtuTTHCQHFMbGvXuYM90u8WzcJd//lGWShohVxaRTThH38e
n6MM4miVXQWi8F6rfPReyQHnGry56rc+G/xKm7x6kHYhYe4WTfB9gFx2lJF2LxXzG3PtyLwpIETX
1aPTwRjYpKHW31sGDBvTmKuAVMLGJTbR8edx9eun91Frz+OjRGXbcHDCWASs7Gk/vijTH73a82Lj
bI1x9Zp1Q5+A+BZD7a4cLC2Tk0yz4ksSRu2lmkVKsrmLsbBtTcHbEDCQx6kfc023IWkr65zg2+S1
hGb8+iIZU318yvjjsIjgLrO38nUuVe4Py8mHK2B26eCcc1cs7IHNAFtmrwblRBQuRGV3Spi3BF54
I4hSGqw7srt6u2v3pdvaa+yRqzvUrhUBkKVMPsm8ao66x+e39UT7yMA73MRwK/DvyvMMRN7JmZnl
fX0lW6O/FsYMpSWxonxlzDGMIHtKqwNU0fLOzpMbPEuwqi7HQFwNsXgY7MpwNv5k8yDJ3WZvcMd5
XpkyzC9LIP/n2BzdU4rw7XJOFHlU0kzpWll02ZFsXF2tpA4Z8EjgdAz9vrb4sNyPJmmUAO5w4eNe
jOSI2/YDFY8s9nFgWMBZaRF/QWjQLToUYbyMUI43bdvbx6Kp26MlovJbBk2b796pivsswvJjNQk3
OVGkjPhViHYPnT+6FrJSW0BOsbMsZU3b0gsAcCeJi/p6AqjfVr0DkaCNrmEoJuaGln44cNTYck0I
nL8K8QT8rCozvbC7qL33nMGj5M4Ne9ejkH4N/abbgtWS/cbkl7GnUuarDWn5rYeV7q3xVIZ+Xyc2
sLMa8oaPQ8qtxvw0BPuPQXEXNW3NfwpF3u0aHnQ1BcwLc4BwDIIhTkCKnVcwz+K1Mxh1te/8Ypu4
oyY8ACr8JutJmlvlrCSmzIOkQVFOoC79Yp7L+Jb56FAhDM5w1+i+pXFK2uMztjD4BzB2IEWmaL6S
kJMPlGjjMI6teTUUQ1WoU5QJbDgIp4mPVYcXEUk6ZXNPkJdzzCHLjHB6InBVTXSb4nWhqNvUccx5
OJSFFFu/wLeenHdGDtcpnFJMqQsdSHoPRajKpY+KmBUl48YCbh85C3e+kebx9cSnQxQlVr4hCw6D
1mpXlxkRmKXg8Iq3asr8tREjfCTXNTZrd930gCPrNBplvJNlAK+vj6kKdl69UJvwiGHHrG14qSgF
FvLkRIXe3/SZAamzSTLiGscpyMAvGnvYZ244hldL3EZ8qh1yGbx8XRN2OOtDD1zVpbRaKak1MUFx
GMt0fZ3tdOlX+mD2PUmcHglh5K0pT5f7LkPFtOa12p+MtpotynSf6QD/Mw1GrabR88jr+lPOsL86
Ol00lIysB/9uXpiSu3xhYV2kEgeLeoUiL8VQuZtaxqJD5gDTzHaxG1uuYNsQxjFvQ0uh2Idz28pz
FWqWNght221iyxpPHTrZkoAmJxk3QQ2nnG6upz6p59yBcVPQi27ICCorZnJVKo7gRO4hyQL6Y7so
hMMkmpnJPMaFtzJk10Y3eSxzd+1kAqJaBVvNuDCRR+ysNk6Y4aZR0G4tnc7NMc0sNBcFygy5Wv67
FaF9TKZHkYCyK5kZ82pQmfHS1brRBklARUh0yVxn+ACFk2s4DwQG2OOV30aaDjUSw9nDSajcJz0y
bYNZ3kLdirPUqmG3lnV6Ql5Qql0vvTm7sIZkeHBz23v11DIjCi0W726s1aIt8GeYbNVoLfxrTFkZ
XRGXmlmZeC4lzEdaZHJOewZ7X9oudQ5TIGGBhkRWg5yDEzg7r2wgjNUdLPgZU0/3FtqV9fAHe4vU
QAZ1A6obtZ3sKs8OnbLhA9d0ffZ1ZsB4q02oEGtcYRdRR9mnPaxjTNnXpoA6SOgreXzE17HpXnCC
Qa4MYSJvK3bJboPOWJEQ1aO8uMk7jFnv7LCOEGu6uRzPyHeW4nPhMXuQDUhelhU/3TQzCgplV8O8
N4tgufnl0on1W65r4UG6Xs1djItzE1Z7zcLSKyY+nbZMiuy27gI+edi+kE/5d+yp9gCPUliu7uqV
Q9I0r1t2ajxXRgp7MzNHoXYKixEIc5NgWsr/Z8jJHbGBqMha6uShrp7osaMTI8aMxjqF9rZ+Z1/L
eiEtqg6upDMouHEJZW5+0bR1kd+HnBb7vjatq3c1AIbTPt08rnr2qYEsM17EaZNMG90FQlLgamff
2jxWhk9Cfy2Yud2osTebgwBbKD5Jv0r6A0O46k3P0bKHZAJOOH0AXL/M1mRwtX4VfTLMuNoxPAai
pV8WW93J9C6DeHcRVQVZlZ7d2QnbHqL01ZTa0RMDzSnBHr/mM5mN2ImOxNJb4jt0NNQKocWS2spl
x97mnsETVdPMYIqhlLiwOnLR1nFUDhMnrTMtrFKRv0BGix4MTZl+mqOhs74Nfa3JPgO0n46ZtPmr
VGWR0ObKxE+OLa9FriGw+jvyn6bhrHRQ3udTL1Zh0B/cShGqNkufl1OYVo9lFmqI5lz7ymVqa7rN
FppmNV0kWrbpOvT6Kn2gEum/McBnG2Hr7CfkGwxYV5GcQsEpoMV9mQgr+0wElRPCFqcC04/t4CAB
QCaDPiANjCI5GXErv6SJCVpRBr1fHIHirFtGpvG870bRZ0SEjizSjHAB50YRke5dVX5bQgpqUcie
8dp2FWPNXPZbFD28NRnWGQymOajYO/AZ2oL7qG4zlXbY7edQsPoLF/v0jY612a/jtvfFJ4QW1kOe
dqw1TjpEY2VS9TcQISw2WLuN8l2I0k6u1PgMJVuGFnFcU/CIzhuasPSSwT3DHwqnOxH30JR1wore
tpnD26RxQAGSOcQmXQZwZ5wbW5mlf4xVE3FfShnJuegMaK9VH7OrUI2Nw7ksY66/i+BU9WkIXieV
aR41THG0U5DfEHPGaXB+r0r/S0j8HSGRdp527j9DKefXTpevNYr27+/IzPHb//0/9h9/6EfQPFiy
CEwcDPGjZCj3b9A8+teCWZMjRGv3Phj7N5DiRP8KYOIil3UXtzjSE/4faB78C/sqHP3w93WDZXf8
J+M0fvzHlo6fx5XZNENc/QFs8Lf4udmoTYLgUSECRyeWN6/iya0viRDQj5WlIAEmnrf+4fH8DVay
/IU/9JDLDyKWDTFJ4sr/amJMO5gOxuzrg1I4rPF1kynry99J9pdO7sOvAJssU0s8O3D//KDCHjw0
OMJL1UEPpGxKW4nbooFmlQVuuzUNWa6sHldVV+TGXY/1xOOvb9IDzfp4AdYyISV9J7S554/Oi+Oo
w2xCzH9oSp9yQxGNssNwgwhuGsJLZacdYjSy8Pbk71XWqo2dGK1em2HOxRTSu29IwYHcHDPnhKzB
VppYRGGGsyx22i74b0kdpbB1SmM5s9vcJwYu7jVkCNrpN8wsizsnD4vNTAzmARbTQrzzxQnTaMF4
Q+h9PFWgUW1i0YMB2wuAcgZ5B1Ng5AC00l51Ep9zW6EOHJwxPkm/b1+RG2Um+YKTfkuhqO6mupye
yrHW+z5X9WUMfYoo4iy01rKx68uUCd8LQQSoyhOTPygVQqxeMDnEBC6+iyYokZupbykMFt+Dap1Y
KMfXMX4/zt5OJm7TDHp7y7ADexKGvptANem1RyIgTqARuUakl5LrGGTdbVNOyFYpwoZ1PgThqvcJ
o5lhfON9WS3646w7FaMtbvtqiE+kwKi9L6zyKEi22VrOMD3lZjU9UbD697wdeztjabitbSQvo6/E
V91IvocAs6tM1hpWbtw8M8bhzQgsfg6Mn/mGZEfqLMXYpW8Z2UGIVL9JclkfTcrXR212/SefYMDL
GMDoSFYs2qpyxq3rfTzUIEOoKky9Ngi63HyFQs2ooKLOcFQxNNv2LUIDWU/2thF2cdf6KSmLVkJA
nN10X9nzo1UCDc2BXIXd7cFQmPfX7ii+qp7PGTaJ3vvZWB6bkJerA04VNeZUMb1Td+Rp+n15bPsQ
/H/2CvLMDbQlVlzcwXOHMBym4gojAW9dRsn0vTC1uQxIFrtW02TTsJqXTInpCYft+RyJib/KSfW+
rYAPLcUdR+ByV3GxfOyG8K7ppSck69yL7+YI3aK0Wk/EWFaURfX03SoyvdeZ7V4nLm8iJq9o5dat
3gA2uFTj7chzLZL2NSgjjy4hzvPNoIysJtIzju98MxZfof3O51qm+tFGvLSvib3dEKVe7GDGDN9o
3q2HzCUnMF0yRC2DZwuCR5L4uDzqZYmWtZq+6467nwtNNypm3oSL4g0uF+u/W7TBZRLEp7IvniXG
Pac066rrJHxjXg8SSgvpp3gyVvYx7b0XE0vszzZhiU+Jzdpc2ZjP7G3SeDcu1ChoL9P3wQ3aqzb3
WJTKnpBT86L8wBh2sXDb67Zy3OtokN71qLFoqLO+fR49v3khLJXVGhDL3tlx8+JUnr7IUX3fq1CH
UDTzkMavls1rQklHspSztEXUD1S/3ByVcnmEbG3cKd3Ww0Zl+XzGGLj/1OL8eKcblJcr/H/LtUW3
flIIPNe+NLPD0NhQqiHtZnvSubuvbelDqIQPNQbgZKGA8oTDRW5qeik8bMCLfALF7U8YJliF/zw1
tRy+Zt3oPmckgRbJAfJR7ZLsNRv11kE7NJ61kDF808QZ3TuywEmFRrv3aBFGv278EXsIy6N+E2L2
d6xDz1wN+EDDO2LSupvG+mpsIhv9aB6dkM7eDGZv3DZmeWd445VbtRX3Hni3c4d9qRco56rzknuc
Fq4qsjUxV+AjSuw5PVZ28QiTxNqOJZb2o6u/ZGE1bt1p/FakdnU06uQrU8T0mM5YkNfW2F428OYB
k6Bd48k5fEOZIrD56C/UIOIdAXfWSc1FtLHoPyhuvYTcjCS7cmdXn42onfS6I77az8OTUUBMy0pR
z6s2isWRqBeC8Qzlrsnx9FZVVmCDW5XlW9LOQ7jCtjbYj72LEYVb3+k6yLYAdNFFjgvCGcGnJCmV
D5aocesi00QjjlGYHGecnBeUE4odMvtDFRBoTT0e0hfC2m6dkM+ytvJ9apKNBSeeEZ+XRQcYcfe0
YNEOP8/+0qojp9zaPPuvfSulD7k4onmvZt4hXnfDdLDbLGC2Kl/qJu4ux94uQV7MkdiwyMKYN8Ij
wIt9KIVx/9WBHgwbPuHM4wAPdyQYM221yRLLa1/cYSplEaVc9DuwMiQEaWHkqyhUL+EyKJZOoS5q
tURalkXxTDpmE6x95et9xABUrgMfxm3khQSaTC4AQuuIW6qzEOonLjjHlv3V3Gg2EdRDRWv3GGTE
zdkt+/ZCzvG8bQDJj9B2+w0zaL6qHryUmJsaj8+FReudWr9Tj7N08nWXk++K7/lBlht00s3J6vz5
tS1N7wiwNj+0edsQA99HBzV70bEaY32TFc68meJRnIqqdde+XQKY+gXTcJkU2x5w/jbocTVepPfj
KulI4DbbEBnkhK03YveV9By9gUWVfw78hFbH1HLnxigE4REZO5HCkR2T6ra0oFv3mSmPWeYoqOzT
tEmMJHoqw8TalxkrHreKdFEPxNtIxu65AZpHNCqNu2pQIRzlWZ902BGtjMlD6m6F31XfUTdfkXgZ
XEaKqEX6TAkrtCSqiFyYtDi3/WwdWwy+IVGmUBzKOXaexzzQiCU8CZcdVVd/keqkQJ5t5eb3lgTb
cuMShaM2i3D+OAsRMS02uv1old4zeogsw3s0yy/dIem/Vk7um2erd/FRWVkYqHjPcMXNgyS7lujm
pib4xFBAgEHqTV8ahN+AknKpC1pxC0mj3PikojXbcKqyC0MtUXG4MuUBy69Kj0Q2dpeR6BsXGJ4e
cgWTNCMYO4TanGeNd61t6N1zWrdf7DY0+nXXwqvg3Zir9xIpzx3OIaI8Djk84Uu8Ojw253b4Fmax
bLHnxrVxhwMLBw6Bc/oN68YQy3ojvsOtZPkGCsqEAL5KjNp8pCBKs2ot0ta7nrPMuDOaFl+LKXPS
HaY5IP2AIt66oshLN66v2i+qHTFUT8n3AEXjdCaJT5z+KL5Ehq6TkHJsFPIgD7GrSbk/q1oMTJXW
9pYy1L9XBY0sti/o6rb25BabPLXLI+OM+rLsyDl1zZ5+Fbn8auhAyED/ULduUq/ncEd9b9xBkxmf
MttJrpOKSqP2/PYqmd+vIhKfHcOnLI2FWDbludJvQ05NkkUYrRwjIawbtsH6m9P6GC8aCZG8PWXi
yU8WLKjquByUE3qfWsb4lGYm785CHlyvzarT+6Ty9QW+Qtz/OMlNsuQQNxRbzwzvKgyYlvKXwNrn
YFDlEaK3ucJLFI1kpfRbqJFoqjlutnWeRQw7JKoR7S1tOfrm8ljYkbj9TRPxcchN34AyN6RpxKzO
WXzif27OPARebYl24aCw2VnrAN0vJjWR3jVasSoyQtii1AneJltPB0RUTBgs+5U8xk+AdiBTHseU
4cmECUaFwAsXmedp0f9ms1Nc4B/mvNjEOilSY9t6uiCzPjzGvlVsTBeOT6Z4kBWv8IC4zLs2rZSQ
aFVRJ5Q4iHBwz7taOfoCUE1uOkFUW7O8WdsdjTu8ePx7wwv0WxUm8EDs2nWNFVpnSknUNcdeNuVx
HFk4Kc4xNDAhijN0SPxHsxvw6ruF6PhHjaTqWdzWRLTxLonVRipBIRVVOKi6Zubfu07RblG1tVcF
grvLfBSc/RatXoLz0lMyGwmjDM8uXzoHAdoJjX4wXYpYJjykDDjIQO+stl5SpOZ6bJ24JK/dyUen
A61HrOJuuKHafmrwylr173yZwId8fSwWLk08LwSamEIq3pg9vszrOAMUnIjACe0LzMx70sId1bIL
Ukt1ZprXGxQY3DEehM1WsfhTyOeUUIGyzJUBsXpNG2Me6HpY2qHbfzJzSnwy5b117xlNt66ilniu
joI5TN32i87HYtdlSKnHiVPNLCREpXmgkEtrf3wasvIl6KjbZ4VYGnMDJ9t0Opso5nl2UUF0+Qkv
QexmvdS463Ib7TQf7G3hTNkeXndQA+oN5XHwwuYV34Tm1dUWZ7Jd2qDcivfpDGF3QwcQXjLsQT8i
abb8su4/1RU1pFKWczSxi3oZlpq6TqNysUjAEsudS4VfT4kkwJqT6tj1OdViHTgwarPgtnK68cm0
RnuLYWLz6vWwp0yXyra16FrQZ8x8ebhI9p/snEZeiLK9GgJYDavYVc3rENew8sKBijR2XQK0G2/m
G+nNsbYwaeJfDuYsvjY1DpRhNeOZSFW+8jJoXljmi5NoBWiIjXf2SkXL1pViLLLzdEDjXdnis9RB
eGnhCfLSt3h+JFbbnTId1Jc+BNk99uJ6XzNJXzdhPT3BaKatktCQw6XzxpS8vaoK+vIgoz3Bf3x+
C/lK520WzmjD/epmUmjD8ICkzTG95NqqXSBcCY2LqaW3ro2lYFmuWmEIZK1CsmKQWuGScakdWR6t
5VNVdLIcJIgJWprUF0+ocae6iqFlbkp7O6LpfMTya/nOTRqnVLni1mRWIYmD5wh43wPbOllERomt
LwoCZKBsdZJ+2iGSHkCLuysDfTEnvj4DE4eX78vQVrS+LG9hHtRo6LOb0Gk6vRa375127bB8KhmU
+C7RsYqK7qOsrexQuhxkJdSiyzH2yWJY2jIjMXgMJLAxdHf54N8BlDkL9a5oacRlmr514azPM59b
vUwFOASkAoMIGaJszVYVd6J1VYVkooioDzkKxwbzF7Ewu9N64BUn0iyPauaOMBODy5fMfILkJwB9
MK4EdilMb92OizdIzhKsAUzktq74YhJVedd24Xv3HDQmSih/6j9h7wwSM7uF+Dw7LgAFdE/xlUGR
zRx40I+1wWce2x0uCktT63gu2xqdVHx675AJLzeBpoPFsGTO+JsqmyZbzGxxjsXPv/fNAcKSsyrA
zOoGrynDNL5jCLaUKYHB6ysrDinRk6Xyx9LMgIxal5acyUJ8ZzIDu2wbe5HY4J0XDr343FhgF1a/
aPpJ6qovJRZV15NLhbtOzIHN3cDXCi+q5kUlkF07E+MBGbDPNjLlEaae6L6atcMLKYrRIhq3ooX2
KYuGnG96Wc+iW7ZhMkr7i7IvQYKiLKDWKDr+eISi+AIjP+shXdBGKfLlFKAwfsGMo2KfGPtvo4ib
19SKk+sAkfLOYtK09nESO1BiAgL53E68oA7vZUUIXQIfgrq4q+RE9+5yTPqoGh/ezwYLdu1pDJP0
OmDLp98HvJoMz70OEsPjqJDYNYiIJyzwcHqQHdzShdaPGRQViEsbsn43rWl9hwkWAucjJI7yqEuz
vpydsb70bIqHankHKfXSc98zD911M8YoFUPDre0m05OWlCdtAS5iNqX9YFS4ssTsY5+bPmyfScuM
T/SN/vodipkGwKLQbuNTUqdykyuAjJ7dpMW6Fp1dEipWSKPmwzhQZFZ82HsGxKBPTclHoc2peSlt
A2BQgtU5WUyJNlCwOD7zCRtQb8thz+J532YVWus9Hbu+6Bo3+UQ3pbEhs6uljkPMe1Ld4tJIs/zY
YjJxMGZJqzj1Ew/TZHvDxq3HhcPh1PKnltraYa0xFLtTEpzCLlWVHbGVEifZloA3y1aJW6S97Qqn
uEafBrXaz+CeJdgeOSLifEhpVfkmO1BB8hf1+V2J6Ihg/B7UsdpjyFKualHw4WbY9GFC1LRf+gqX
n5VAInXEDYfisc3SazuoX6bJ46nNC0nBDlM+langGQwl5Ot6kuIzVUnurkalYw5ls4FDYGNsdiUN
k01WCsoJGKwoIvSkN9PIC9chUZmFDZT5/n/fP0zoEhwxBja+Xz3JmdpyqBzreVA3yjbQqaR5tm9k
wwedueKUBIvRG7biybXbIjlGRpvN5xZn4M+ODPSOaMO30Z0bf5v2NA7vAF3Qty+uTUcglypAK4jS
m9aexz0NHHcsjwGGi4cxdJ/nLkk384KADzSy2xFbRuSlzRiehnj4XaSR9YG3RLVqERoYkLuMJTY8
tWXU8ANvacRUhlG/GA5uBji8hr/lXQeYOm6TQcYn7bK1pRHF94D9FI6MhEHnvecc0Km8JGjN74za
EafemfRFLVvxGdtH93rKbPXIljD/hsr2lySD5WJDcp5IIoMKGX28WDzli2AynP6Act6E9VH797ql
FzOtPL02RhoT0AoKUWuiKSoGaPMmUMYJa6rmNYdLz4CXPeLXBf/7VOLnqYXjBbhXLRcVuNgd/PwE
k5GVHGXLqLlyBAstwgKrD0dxiTnXtO+6Md3Qvc9bSApgE/jMis8YOFA8pksnRw7lXS5ZVAS9sxtg
nvatzcrgNsT/a8suS2FodA0i2UW7/Osr/5tOxfL/ePsBqXWAJT9feWdHRbOwxZHR2uIUE3CyIPdU
jwIrwdtyAV9nR4SbiT3xpdecIrWs6QvHwftz9vLfUeVvRpUEFIRMCf/zqPKyGbM+e61ff5xV/vmn
/pxVhuG/lvCYCI0PTO3FC+V/Z5X4qiD0Y24HvZvv5v0V/1vhg60K6Uz0xvikLP4mTEz/ZH3b/IUE
JpAIAfK6TD//Eevb+TA8tBhfuAz1sE/BSv2vDtEZhIqxyazu6NVxQM5Iblh3JgKIM+yQdteIPBxW
XhuYX3ojiB/gGXVHXdXxyegyjlQsZ9dBGViXjenX++I9ZWOyyN8Iw8J4CNsKpjJISrZtzCHCLCRX
VN7G+D3vbMQrVKRPri0GjBXDbJ2kVXxuTDdVm9oOJhpgOkamXJ3cD5UxHxpR+fcjrOPfGIR/mNfy
BNgXoLvzGJb55kfz/HyB2xqa+KPqLHXjwynYJ3pEbTgMy31x3T8skZs/Np8fnes/cJvffw8mJYNU
5sSEuX3YkmzqVZUURXuURudgvFV+SWYGYUgkf5cV/IG8vfwSaIfFHJwd2WJj/nkLmUffmntqn6OM
Rb+x81yvIu2hG2F0dz/ZpbvXUADv/vHtQQMOOAxgNYO0fJAR5CYwT1VT2WEOQKahMaK3Yu4XeJsR
x3n9GwLy3zxMVJscPC4iNdzsPzzMBHfBrK5yOjRTesW57qp5p/zOktdjGT38+s6sD2Tt5XlGi942
DBwyHnA7+vl54i5YplVhZkeRqhKRUhr3JX1yRYwTXoOrVKfqeuxG61JigXWYy2BoYeZTwP36Ov56
zx70gkUYEUT882NKe2nhQFaNTn4UY7GkEvS63/hJHD9EftuYv/mxv64hD/kxmtAQ53yXYcjP99xB
OnXIr8iPrTXPt03Y9ZvB4Atu07ZIIUFnXg7BES+U3/zu390kzHLSO3yfRCFz2bd+KH1w8pNZ4pMx
XUsxUc/xNqUz4hNcZ2P+z34LRjh/P9Rwk011EWB/+C3sk6U1pVF2zCyRbASELTykzU4vHCzn8dcv
78N++/5bHpMPjOID0JWPQbR5hfCxM1hDs56l9e7MeCozZ/pddNJf6BrcE4z+MPLZZFiu9s/Pb/Sx
xsH2LTvGJgOcjZIIeVauxuwgniBDpDhXDVD9hgbud9fmMUbpSfqb6uvD2lnu1Vr4GnyfAWFSH9fO
pJk6I1zjGqY+2YAvCBuTZShYMaTXE2IShC6+o3+zn3/IC0CzyiHLFuT7DnWTjbL251ufwLCbOQ6y
Ywpn9FOX+9UJ4btmDlyn+85pa2xhjEZhha+hpq1jiXflUfq1+mb5JY13O0XVqYjr+ABVrjphns8/
5tz4DRj9d9fp8WKiKKA6+BttrefEktbJOJhg/V80A89uPeGqwSsqfekfaiNvg5XOjSCAWiyLswkq
jY8StO/jWDTuRTRE8VGBUl9Fht8zCZzSJmdgHwXT/p+u2hBqEaC55VGRwLv6+ZFCPRxo1mV2rCJT
IwhbWuR13ffD9te/8+Gr59Whc+OVkVaIqO0v8Hxm2DwUo8+O9HNYmmIBvGTdNh4Yh+vd//q3Pm7n
7z9GbY2mDp0e8uYPN6XD3uvxE2Y7b7pik4TxtDEhQqxLPpVdbLcIKJXUFxb5LM8ACskegf/wmwdr
wdLi2f3Uongh7gsB5v4UBVzOh1Ol7DDy4suID8EINkKrabOZDpFy2mMCNHNrOL75xcPiCEXuWHUr
3aaEDmb4CYQImU3v4n1eE8GPuhmmyB7B1PO2w0h0GFHaFNV8LtM+hkoh7Lu5dOK3SY3lEznFkHnK
TslVJBgtBEIVJ4xmvIsJb9Z21VfSvvPA9+/B7MwDlAXrMkUsNW5MKFUPRiAJYYPfPq5ggE/XAATD
awnJ88tsUMb1BqkNq0jVMeMKw2tPNfG186rGEfsw95bb7/IgJbfOCZbcY6MpXNgvwsZ6O4qtr/VY
OY/ScVqxUgupag1Q4r6V0+AC+SDaSbd9mKfnxOHLBsTEv72bsi8j8WiwtxPvLWmM0CbxgLJxEaKH
CfnGUTLuzNR399I1KYbqQBECEgCG42UZPIdCduEdaY6sN77+pNgxFOTn27YzbkMb4vvK7MfgeXZj
b6PIBzwHy5/tvYbL0J7DoJbxlVwFWWk8EKCmz5wz5ZMQWl6/P97YlwO4e2reMhpPi1MzI0s/xpCN
nJNtVum5SCJGS2JOaeeD991qtP6HvTPZkhu5tuy/1Bxa6MwADGpQ3odHy+gY5AQrIkii7wwGQ/P1
tUFmSklKL7k0fxNpZZLpDgcM1tx7zj7UjPTCDIXTwKLFXzAiG5uuxvZ7txODPPduJjuAlqhtp484
q/yPA+4UcuMTu77zCko0wHj5nDHN0mup22TXd0H2pgAmrVw1NSfHCPk1fhfBopAnnvdEeV2Rf+Ny
byvPzd4Q57qUBxv/NRdESWx4aYBUxVm1fBD4WvRWFwoyremmW0IBTIrQyck+lxIfy4Q94NmZgf3s
vXUcVmMTn8MhH8mXSUH/IqVbY5WcqqHxZUrGEuq15ToZZ/qjMUeveaPxfXyohGVDBKP7sRtSmpHb
nB9A+T5HO7DtGWB7u0/bV6Im7FMzhYxeger4TsUpuLgh5cQgRWM9yhTj+8ZOkIQkVpmfi7DcR4sF
rUn50y0xT91B54FzAta4lnspXdCdUR8SnWYXdqjqyzEZfWhZZbaTbk9D3KuX84DX5kT9Jn5MdLBv
/KF47WRdXM982zaGt3RbLcGxyAj9wCE2HUmg8D6FIa9d61dHu5n1xioGxDHWtGyhO7tbR9bqgNmA
Qq2qy2LLXXWfkVnckrKFA9eJDmnaeQdiH5szXBew3dZADaoa19o/P6ssQrVNi6LczUYPG7f3440W
/icV9N51UmW3akLXYow37cwc+ujPXIwVXfYkYwkrr2/dS4IdQaQUlOl1PR6LCB4baNt0ky5AayN4
jbSP0/s+nd+i1n2llt/vc6vyEEv79cZdjEsJPXzpZB9DzKLhSkktZFUbWvczkqszInVnY9zsBnjT
uCt8+WhMfNlg1HjRlN32qT9P57SsmID9dY9UufONzDzvWi999wGySX+2DPWkZZFXBfYCJFl+lQd9
VKyTSNJ/7eyiPc1Ok2MFi03crYjr/Ow0fuNscJ0FV4MouaCmxPuKL9ddnsTie0hKVzmSNm50qR2n
wxslfMTgkvmiCOzyCeFB8jS49vgwYxJbaUyraao19EtQEnj7uJLBwS90+CWvMnUxlXK6SLu1n4Sp
wLtWiX1PV2q8D8Z53nvLMCA9mXKxmZrWEFTcdtVdjytyG/CmURm3fLYCbtHEWzWzFylWhEJRyx6K
TJAxFdWEZvgxKwIIueDU5hx9BsYfopC5PkSL7R8HYJhANVu3uqVX8hyUS4cxcO1VdkuYbxOqSMj8
KPvnB5G71aXVUv6uc7wa9jD1BxkMCf2XZLz0hmmnkVOc83Gw9QbYRPTZy6c+3oja7bOtYZ68IHcu
PXsd+3bafOTdLqZiYObsHTgilNaHEm3WvprVC8pBcSCYx3wa/Dr8pglVh99VO+6jW4ng4zQuEX4Z
gZlrHsZpEzcD+7F66k7tskQ3k9XJNcVv3npN024t3QUnTtDRKZqwx2zoZqqvLULwfTvm87nT3nVQ
QdyLYjUS+BA5VyhrarYwq64LteOHMu6oTqMW9jj856lPmUI5j1ZmUX1AQ4XAN4geJjEsOxbhUq+5
Kf77tNj9h0BbVA26uif1p3N3Iaz8WOY19X08WccxsEpkntrsaQn7T+Q0NXeJ7j0Am05+Eeede80d
zHYeeqbOxM7RCMHAjuprSflgG1eRe5d0pTgJKNFXUZKsauZFoKfrnF0VjpCZ7aU9IHcNXwfNT2Ki
wWPZjxlgQt0oZEWxCOkg1DR06tEh34MWCB4odHkDAMRbe4nZ9kceTFOEiXm9nwur8YFQm/IIUyT4
JApJEafpksuJiJqGPvval7GiGV0lnVENBuaDRtZK160l6hjTS82a7kcjvbbGiBtO7O0RenXAAcBp
zqUza94u3V5joC3vWjAit2E/TSev69OIdkN4qoCKXmAqsTbGicPLppvia/pJ4ZEeT/VW1F0A462N
uo9+IrqDlHnxjcykLCZEpW0uCLynlpSX6nkt6NNemfaqa4j5iMSCNI7oQ/Nqtxi2mAR6C0oHga0s
rrbedmktdpSfh0uyycHTNfmeJ57ti8p9H9EP7rKhjRHT0YjZ10mydk2G5i1wanNeAKhg5WMN7FJv
Oc5ijnd+WOg7xzb9G1AC5uyOsFgQ4BGEAr01/ur1fsKnWgf9O27F0N/Yfj2l31Jr7rY66wHWJL4G
Ko8B9Vsn0/p6Eq17k41ieLKS2Lz5Kgs/JUOECawGKVfuJnsJBcseRryg2lIRIdpd+vOZWJgo2VfS
fERFl93YRdXtrJDoavIx8mZDI9PZsotKbmZ3DujbUCL3EBddCJhdHlelp5Nf5/Y1qJJyh8+UNaNx
55m28jDI1arYpAMpcd10cuJRI8Wr2mGHeLZhOpuX5CH0cnfeTsIdLkSEq3frUB1iXMKe3Cb9Yj1m
ZWQfqHTz3FgU6F21+kx3fXhvORtxwkjLXW1V3AUs3J9jOmpwe9jiXKdB6+LSdNV0krYXPwM29V4t
t7W+uXIYrxD5J48Cs+UWYphznPwpenLqDELOINTnuPUztpPkK+F5emJjHO91LOmlFN299J6TZCEU
YWF6RafFoKqebVHbGzu07gMzFRuc9gu2NsSNJJRsVK3nrV/YFX6lFcwQpNB/agR6IWdsGH4+mL8p
eytKN623MEoleSyQf2aZnNwJW/Mgx6+wN6IjZ3k0qNT9DwWm+21RSZCLldg68CGhdg0HXHagMEEo
74KY4UxWo3M5i+o4LM7r0vLBKX2oI6JoIF8VflhfZ9NDB49z69Kdvc5r881q4bF1wMU20hj3nFHY
RZqdTucMT84psikP4E+YeZ/VcGxTbb8V2ok2nPFZddgInf2h8fc9XmVMeboHDDvlV4UzHQtJN9pj
w7XlUC13epxuR2k7GAQneRKqS9GLQSzsu3ZXQkFlgWjiu8np0bQRIXCgaf5VKyQBrdUsR0dmSHC7
6LOareqgZqi5GnjpZknsC7xnHwbPes2kf8DPPbNPiW4INzsjMf40VsvtUMRn3cgn8MPXTLkUjAhe
u5Rq+ZZ3yTOMlXuoa8eW3TRG0PI1srPxuBQUKQMdvQHW6rf0+AYA3454anBC7/Epv2GdZGNlJUzy
qXtRSoWlwAViOrSXUxqMiD/lO8GJxMlUVLU3AlH9PgHO/BH41TsW6gtJbsuhC0q0snM0Jx9tBHLL
RqmwOPuqRbWDFBvLr3d0lr3pshdMIgTG6/RKdE92aIbHLiQOKe2zh8BLUmwRUbFVnRleLFeRMDEa
fTKcYa6IJbDwvebraz7b8Pmz4EX2fn3Mqk6Gux636EXWScqjI8kNW2ID0onmqcMWOlOFj3WQXAFt
hKUOaUUKqCujL7YEA3KGAkJBh150H9pH17ijd6nDqkf6SRt3Akqt1s9zuyJ/nSk6jxQunFhfJGCo
okMwFq3aUNX0iUqDOuocEEekzaZgP3QKvCGwbtDmBNmut5q821gRRVPZjxw5iyjbqsGNP4VJEX/r
Y8kLyLfSYiA4moOIG3KQ2rlhw7EoYdgPu4bphTrT2tOYmyH+NCQcEGILcUXduOISpvR007HGPYdd
jDjcF5ySs8Da67mT9k1uiczsdTRz7BgCpqWxB9lXO+vpxMnwL+SLO97mcnaubAetj5Oo4pwWY/wp
qSyK3Amct3unF3ovBe5x6l3GfiOYSoprwPTrkRfu17xNRdt/7GrD1oE8WvvYOp66YG/PR1uytvZp
wwF9J+ZkOUAw4Xw1Sv2ZDB13lym2f8hv2juh4KY7psZJnORbmr5k+hVgErPewzOTChQwPYf8cAio
Eaydmu/fZ1rf2s+NVAgTYXRxTjBH6CjVy/e/EoWVe29Ljv1NQLp8IMRyctEDvuLx4Qw2KZcqQeiN
t+PCtsfisEmvZ6HVC3l8Xgk0gjhF3R2+F4pb8Nlbd0JhCAa835Uk3kA1I0vyaNGHPZMNWJwlyrqj
RHv4sSEf8cLNcj6ReWT50FN4uRNZ6bxUg81Trwuba4Y4c4G9YLorJva7i4XgZCkG1DsgK8HM2vwu
v6IW3gqOfZ0Bw78Frtod2apxth+GMsCeWsRjsckWqiIUL5kMBofTia2iXeMb0V0U+Jsqxr+9WMSU
YYqh+IdWrsipKIbLJRiH3gWwFQHsYu3QIN+SpTnoYhz9q7LT9o2AvnHZ5DgO+kVQvIoXuLPruMNQ
g5YSOQ7bf10+l4oo+xQMP8ekyVqvL21j4F5U1zYWx6wP5bDek3Kgy+bwjzyr6aYJDLeNIuXWdxAu
ImSsAdVTiuuHerkO5ni8Xcox3DUNklPpMwK0b/PZkVk/EOT8Q+JG1j5KyY5B3UE9P0DmONWB/QLY
djkUta8uYBbwp43mbjlyYsCiT5ivDR8EZFhFYteh4XhJHeHnOyKGomPWM+5Ti+21E1Bn3X0vPDmW
G39bHJ+iErqlo7fwofmE5JFSYu3tWM7Nk0bedhU56BkMytVXpJzTHXIRXh0r5RX2vYHe5IjBLAa8
+VoEvUa1PFneZu5NiexTlbFzz+GAX1i7uKo3MdYBdsDxWB9xTLtXnFvURx2tt7dCvnweGm4TAafu
/VjonJ0WF+72RfqlWqqWFEQwJyzlvTmXeo4vNCXXajMgDHpdZjDbNhU53fHfRYrMRibft0H0KJic
jKOHbt9rhMdoseLw2Busa7bm6Wgd87KvBqR4mCMqFjWUbmU0UCeEfh4l8Ou2MvEnhTMaXalcnEsU
gs5t7cn4LEqPK9ecfMSuZjo82p6g+EFbNNyJdRSMLaU50QpKCsJHVlWEmjPhGA2MEmJr3hI7b19p
RVrNll4s7zRA8HjXcDo9DDbzY+Rzp3CuW48LB4JvQYyxGwnZOgYVXv1tIBBKZYmLEjD0ZiRKwSqS
x/hE0rdMzddQck4mDcyZXvommz5PJqQL1bMhV5RS22Sfsq1gZUTIcuX0pr5JRz08YpIIv7TGj79l
zRSdjSDpEukgKxMWsu4wi2Amq6pmBKzs/U+5FEhHeuUpGPQNBW4sa1kz/yg//6/Q4TdCBzLj6Q3/
zzoHZKeNev3S/FXm8OO/+ZNtZ0MpRuEQUcT+oWX4p8qBhBaoxxLTNQ1TkkMIfPnTku07oI3puAOe
Q9IHFo92wJ9sO/kPGnK4fSVLjEeXPPpvLNn+L51bWgk0baE/UV6nZoN84pf+RUUNO7ZgpoQglvLo
wDYwnIcXZTB1qTM21SDr2NqEYZofmWGQzF15UCnGfVJFIFiRQDREKYGRjOKw8K5rC24ZPFJLp+vb
hSlKZf1xKHI9xccizESWXYkfFOOFfxsPpxgUQuQ/0YuD25mA+6+GKb1yDM7CpdiMYWCRh2LBjTAy
rKuzB5UNPgTS4wyLXhwb+5Nbq3g16WmqUA858E+HTEc/GVEjpZw8otss0/vxR7RK9T1nBWoLmSvl
jwAWtnCksSSigfTzo336v2/Nb94a+sV/qw76f+Xr2+vPwUo//pM/pUE+Sh6ECz5tbjRCvAD/fGlQ
DbHsgCxzVvQh//uvl8aDGIwSPKBftTLjkAD866Wx/+G6vsdLSItO/LfSoP/QqeZcx1XY7kpL+FVa
keNa8HvPt04snZinCctDAkf2x+NfZpLfy2HowtGgjghxkmt/EZ3Bz6/mAjVgNouxiMlBsEwazrzz
KE/dojTGrP333/WL1Gf9roj3YlU8oSmgp/Hzd/Es8j4yXrzWhqNb9ormmmnLO/sLmw54M1n6my/0
fgXk8ZVQDMG9E16POBJZzM9fORGB1hG2E59QWsUggkgUvGrUkDSbxiIMexsij34GCuq5B3tIjLcT
bNHwlTcjp9ROJMNWGONzwpxQNLdrUl7UTGwI5kjZbzUuYaTVKJa6OImO44KgHUcWva94qs+zcrAk
FmV0LC2lnxzCrM6RQTttxQAHY3izN36SC3C2yKCPeE2IOUz6ed+R8fPBtfzla8Sm9TktfApqbXJt
D3O2x2cASwq75WnhXHCNYkSG2zQnqsDth+ob593mdoFI+OTS6djUMKroLVD5cDLKnGy9xpPdxM2u
Wzr3GBq72Sh6ZHsnncjl0F5/GTi6uVFtOFIYKLxXu0ysE93wbrcoazx1gNMJxJiiWG5Dy23ee/gJ
V3Kppg/45KlFQXKiJK9C/2D3rvqUFVY00uBJaX50m2Cmg9N/wrsk5p5uZpsfgjqgcjrGjPMtket2
u7G9qn4bVECALSfHj3lUuPdRYkcpoL0++pKHPchlJ1JAwuhLNGzU82w6KBPapE+HXvpWpCWuiKz2
y1u7NGG7JQ4KGs1AeMc81COd16XcFsATdi7k4TNVRyq7fpaL28xjCz2h5Y/XuEo6B3LfO7b6hH3Y
HJrJ1gdAwmSPT42svqiVUJ/W6fus8naXeHRuUUNRcHcWkcJT4uakpP9ed2W1fASPaH3wQHxdUfRF
attPTnEha2NbRFfkMT6pxnrwWfYuYt/2T2askYvPWXGFV2r4kvRSvxXOnJf7BV9hvbd0Fp25Bf0u
jeV7p6EoOKO6IQIZ41lQfrE9NqO0FS5jS0/Qe5KnqOcE1bG1PFot5R+axBi5p5FIFtfHu4DHaxO0
+jK3lI8mTiczTY4wf0UuQKyXFXz2YnpkKdvl/RTI7j4eS/dKwu9i1zti1wkDn6HN20Op0VwTMOnu
c8d8narAOghlaSTl9fKm14MMT1a84WMpbqGiubti0foekQqdYk0YTRdl+0EsLxQZvRus6tgL5qW/
sWBV7sdIjg/UWwegGpE5zJX/oR6rj4EXN+4JZyjNlo3GIze/1zIjUAlW9gBgcCjIyN7QpCLaYOlz
syuSqhB7jipUn+eyo+CCi2yeLiiFJpRW06TDUB5bVrI8F/1I2hkEsaEfiQiwmm6HWKXPH32Vh4nG
S4p5wYyPwazTfYQwLKFmkKoCYl+B7F/QnFy38nV9HM0ig5fJ8pPwEODDEBe0EHobJ7w1h4c+h7/l
k4WgJT6PcUnuTYED6OC1mUluZKcoXDSVqse7RFpJCPucplh6GcVkyBOlHo/ik9umq9TPrmMr3Y9q
itznfBgJ2ekm5sgvwZTyoFKdagsgeZsM6qGowC91RyeC9oBGoHiIDFgJZddMw00ViJOxOSMH8Uwn
JvbceN6MA+1yMRnOF+NigNALi2KCwJxxHt2Y48U0iRP2fAoktJQy6BZLhO0IMBkaRELIoTuSgfaA
1GZ8l26NxJvDc0vLjoBTKt58Lw0pYhYGctDb3q7P2UQOuq6GNSGQbRgvO32Xy873gaoFJqCMJXvS
IFRW7wX4cgrWNl06a8ZFYMVx9Pm7q7ADI/mw9DYhEALxa7szZAZ9mDy//epLHENcCHkRhesTpD1H
1bIbJELDvZrH5iK0y+i2FJl8LauO6/NK44DwDIijGYsVzYxpjbKyxJDBzdDVN8Bb5bNHXfauLHK5
7EIw/Q9JhUh8QwDggFWvKeTAe1vuvq+t/7sL/O0ucD1t/M9nJ3aBffGzQBxqFSep117/3/+Dezj6
B7JjyNCrTM+X6zbrB8vKCVyyHGyOPvCBkYmt0RB/yMMD5x9QkPjrUIsRZiDK+uceUPBHAnUqmiIO
CWzd/P/m4LSmWfxFnLRejuNSxMGKgDCL5WvdUf1FhhkGBibSYPtfU3qN+TfWktizd+PoWp3eaU13
5zkvk0wf+tkDqtDDSxLvU1y29ZXTcNhwD61FPW5TdNQfqOFFsU2zFYhEOj0pu7JyJmQfc47cZCB8
jIVXF6qsgcI0zAsUzHyA3egEQRuoDbUXawQTtAbelyzOGufyHGWElC2DTafTw2/XsTqylEaUHrAt
hjG6krxvM9L/Ugwxv1Fy/6Ig8yUUKvTVEgmZJDrm3wTWTS+h11Li+9r2oyHkt0qCFOMXaxhboyih
z2xtJ4d2HF08lc2PfoAaUG1dZkp+Tw2n83eYrF8ML1wSNiHE/D58efSPqGd/fmBB7k5EHajkiwMR
AzaEnyXFefEHOl3H1EJvQfkck6yTwxBsw2FT5BMYBBysdERemwlXKfukQRCmw2Le2+l+iZNl2GEt
5lHsNYlT7AiVjK1pL5eikzcLSX38Nc7J7HRR1yCTin6zi/75JOIHNjeZUzsnHuFEeCncn39TnBbw
Somo+GqP1iwfRJ1ZzX1Vxs1y95c38z+cRX4Wza5f5FEeQDoqwEz+B0Ugc2y0yCn+4vG0OV+3pNT7
5MnZvOGTF+T+7dg3gqAFKPKlpbetkwTmnpW2zr/9/ZX8LIT8fiV08rDqIQ4MZCTXW/KX987xkhnO
by6/mD5U8ka0cw5uWkFrCrwz+7FFyP/2JlO5gYD2vdgScBfWEspfvtFyEivAfey9l0OnmnnXzRDE
i40JCWEdf/Nd6yD8l+Rx/XVMXD5pMwz4cHVd/Pxdboauqc2E+2Vykj7zv1JjpW16EaMkys9J0623
uJzlmib197f130YSG8ZVGI0YORRMur8cNj1kI4pQ8f59sqMhJNw+WDmSsWtl3N2//6pfTn7rj4xw
9XB0wwfB5G3/ckPzpnGKERDtl770RRWcYGbXT6WrmaO2OkjipL2dooVWw1WTqVrae2GgBj7nVE5b
RCIlEyJp7Tk6kA95TmiDv/0u5bgiUVGF82kYfb9Sp7+/6H97MAKFb4QpiaeDg+PX6d5Bx+9Orl2/
1zN1Jm9DdGyRfzPkJYiXpqlk4+3iiqyC+Hc3698fzJo0xFmRgiBpn79OW/FqimmVsN4gUzsuFNxA
ZEO/DcI2hXDveCWM7xOvSRG8zmmZTJwglVJRu60s6uqPqBFHxBBpOC36LYGsFB08wuXnS1HNPk7D
39yl8NfXkwsM8OOvtUQEu1R1fh7A1PZaVQ2qeUvDzOVVzAFoLXe9nDDPb5aZfbw5Rn3byxsLrw1v
Uw+ug8WglvPMZBkVfjK/MwCr/Jvs8dCsy59fLCOyF1j4335MwH7cMruIiebyS59EEeU/UwUFI9WU
uufp1EpLlmEAACSTbrBPrVO01acpX+jC/Q4/AFbX06dlXrcQmw7YCvcCH9DKJgS0J7v84Pqd4P3u
0jFbSyB+Xn2VI5Fqzsaja7Hc8fpH4oX0RYYmnuuca3RaNF10Q+vBeSn6Bln9Hp5fuTwv2gvMo1Gd
NPegeUr+blrnzCBrTGPDMyNeZ+SrMcNnBSpOr7V40TmPwnvZNHYOU+swA9moxaYnZHsFKJLtxl/J
ZNBX8gj9K9Uf9BhULGZzh/BGb3vl58m8z5HAGURbJGhyuvTG9dvISmvljRdhQvhEW0cY8oborV+X
iM7mI4Koqb5MO2sezgR9ToylKYzXmQ8MCZLZ0NAsRy4a63XN7MLY5W1rQ4oj7rYBnVcUpz9+AIk8
KT+VBlok851NoZkbKmh6zJf9lKyTWFkFOAlWTank/7KgxdK87dsiV39+RkdquNrjJRcZ0F/a2eje
vHQR3IPBy2a+empTJsfZa/hNyY+76sOi4M4JIpv4C+OoERbXpRrANUCCWL+RUFx2bdhwJbelnYOO
n8dEvw6XJtKsWh54fwZNjm6tugff0ATBIfcoc6EJQxLIO2XqiJb/LoGwwDPzJpsP9PC1xcEB1HcR
emcL4fH83gE25h42k8n5fsHE6MQPIaGc3JOFllE50nCuTYHRb6nXvVvuTB5/NhNKvf6IPGrldN15
sOSTPTFc63MPXMMssFcLoC/g8bD+uBLldT7/xCm08wwtbuPzKc3c+LwKQw5UI+fJa5qkG0WGOpc0
8+v5l+OQr9fiw/fx5VYGAa/gHBKQR373IiVVDyqUXB7aTQRoW5TnhKnf9DQ1xEs2+PzDNvJA76Wb
nARqfmNnKu7gQAQrt3MJg3XMIVoN/BN9APCDh4R0aIbourU2j21Y87+dE5a8wEFO0/eGrePCLgNx
Fe85gOllnTxWCvhrjvdxfaV9in0NeAjf4UmInn0jSfZoBcxjQIWBu5A2QdvPJzPZfV5dm9Jf2wKd
6gHvb6krDeuo9jJyOXbE6SyOOE1huRL+cvsxSkHOmR2+umCdmdIyxRMubQom6NtbUmvIDfPtHWMb
gUViaHzeiXmeGP5hT9Xa3xPqDFSbjcLYSBTWpFYp4r0QkdlbhJRedts4pHnBGFkJkMxW0Ftt5+Dy
LhNomPX22tsgLhFnyXYq+94aL6GwBlwj6jyeTedDYRGvdY9jFK5dnM9J8xBxDPdrwuybaAqpEWX+
WO6ZiJlu9tpLcgR0SQukcAV5yhDcQexKnQJYyQdCeTaEP5IL/b4QjuETnQpHnd8c5RMB3ulGpVOa
Jlerps0JSHKkrsrgyfJ1SgnAQ3TtoZjjdVyu6ljGUOxlXZFcNkuz8GedawYFl154TJV9V3OXdtWK
D603kw29oLvpoX4z5eZ1N/CUasgzrAVAZ4lHJ07NXmdBbPIRI9fO2libg63bkb/JEabjz7SK13mp
sM1a7oQEwkBK/SFhemqRWXH/dGoxOwB5DXgXEMP2DCjTKY+UY55+N4tLdHGM9LDsFy48nayBr/ad
cuL6mS5ZjszcBqzyVSxa3rzQL9dFVuuhYzhOEEgaYjJCNTM/zGFq+beTPSP82TBFCf/UApfnJ4WN
atRmqZCdEVxCoWJ+r8KO08gf5xBm/fXmjEBym+hYUO1F25Sk+ehZF0O+4EejoufhxKOHH+99mtTd
Q9xN/PisYfGf92YeA644yEeLu9RUacCLncN1ZfCEGUw+wFY/hnWVjeufzX7jMXCXbFo3zrKx1um+
t0IWLcdiVHp7L1CRGjfsRAG0bAIryXhz/RABP6CK1IEv5KK/z3eIzJW2NsHizPKzVY+lerCrqXyM
cGuT1q5Ul3VnWbdgUgCqDe070aCddQl9y/KvSQYMvC0pEVn3mbKrRGwREHn+xc/LRd1XlHXV64hp
AgUHqk6KXFapKQp5YmzrTQh6Q+AigFbYEyE3itDcIKyLp2a1AVXOlVeyrO7jUBtn2/GMFJP8BIOd
pHg8HZDbkwlcLFv6ReGw2PjBXLrRBuX2rD9FrjP4DxLJg59sgeUWE0RT4rHjBkomvz9mnMLdvNAp
K1m5DVCYLMsuysrFVniloJZcUnGLCcLWZInbttMeTBQktDPYoC2PAHTThoVP6uDcU34LN56vXWc7
47ht0H4nuo925G8EOcJKVJ00KsvkFLie3nWNPS6XpB7a9tEZyVU8xC24Kb0hKGbJtmnsCeuupW/k
Pw094Y7N0W6Due32EV6Z6XEN+dHXVq/BYaCo75dnXTOqN0JJqZ6WwCR1Q+dBQos/hgR3LdPGNkGL
zYH8LtJxMk3gxNL4YdVs0Kl6qCkDhQ0hfHOqPKy/pATfmmlXSORj9EuER5rQgPYh2LgeKjD7CDer
E6sCyhalPMZkrcubyIHHXxyNbNnWpl/TsPZ05IC2Kga32TlCz4vcSw+Af3KjXH5MfvfH7tvGGiOd
+zGpmqaHlEh6R7aFY1u14mmcRdv6O5SzKjbsp8iaLE6zCQS7sdgeeWEUYYKM/9pS1HuPkGfMuqxE
TCS83F24bh8VCzivQ+qjGpTbStjrDjOz4OPGhxy2WFKuP6wdw8ulI31eb0XaGZYeeg45q4yuBYTX
4xwEfOZhEM26+yMgaT05BLkDU3KLSaiiJzV0VSZfRN3XXIrTWgHSFnAX1BraoRNMk6KH2PYIR4C7
dATSxS54tNm7EfFCNAJzWY7ziUkvtsZ4ZA2vemHvjVPLxTtFvluyJQKG6jGnVENl80PZl5DWshUC
ciETYlW6rNEjPVC2JuMMzqM9tHWwrpzYwSauFNYLMmNcAkvQLA9gxvE/bZs4mvgwO29i3iUcYASF
HntQVswohY/Pody6q5CP6BTiDhz1Gqlo3a9GsWG2cfWg5Ns4dnVzkC5K4iuC3QzLom6hF3nnug3W
LUsa6fUe6aaW2vmGv2aGbTuWjhkwYDk1dQPaJTGMv01kK8HtZw5HK4v/aC33yL5aV6k/VjDfabiP
BZheZjQZIaCDwYLLkhvZJpB8G7jQFYeOckDZT5Iq6wpXMPQWHqLTn3di6XiFNkPrgQrdBHXKJzY0
Cyp/Vzj1HEKps8p1KGY2+4B7UU2xeCmVw8X8eIwsmI7zzPFv0I/oLid+sQfVh2eE0ipw6B0Rczym
d8uY23H0yRQEARWntJVJNV74bEfNI2nJ6y7WWdq1+KQUWKb0orXrdVNhazqV42Z05/UgH8qOwVJR
r3Mm2OK2CvSO0Dp2KQkoUZZL07REMZ3sNulNeLfo1G0yQkQDmJanefHX98DzgHJ1G3hGbLbK3l9f
ka7q1oIXjkH+Alz/daPmlByNs442HYEseNZoa3ZuAEp+l/xYXVNj8CPS+qQ9JLf4tdgFEmy07je1
XMdjXOY5O2ubO5B/i5eg5h/49+vfZleilruxRGwV7qBnUAzdEk+2bg0p4gPb3Dleu17tj9ej0HS/
HsthhCp7VD0TX3XlTZ5JPptwTGgdEydeBLzVYAUZptnMniA/+Mpfx25ZA3rGouckRu+Ssg9JMeID
Ko9NLUwqnu0ADpfvqhfFT7BbQ28470mGy3eRaTjyJUGUqVejhsyrNn0xYB7DkTD63pU/QhbGcChc
xlllu+shMG8FJzbbmdYH0vswGO84ePKc9QxY8NIbXc5PyB/myRwnYNfFq0mdiZsS/9j59Ilt2Gv0
KE35tdlEese8/+NEjCKVSNXDlCSowzFsdMDoD5DmKRzPlmVN754BanlHVAKaVi9F6L5ydFTSW6eQ
dOPhER6lN1hbuADcf3pM66Gb6Md1F6YmZz3kB7Dy+ZdJ2zA+Yow1PDVdUdBtdlNoEQyVKSPoLQWR
aOjjsQlhDlicjjPvRRe09div5weGkyTxjg9SmFP42JY5WZ7aQEw09DCpMvRPiEfoKc5FyD7qx6uH
WXLdWpVWFdWEjcEl67udNqZfBwaoJy6T6JvvGUF4rMf61vYnwta5Ict64haRpbmRoxOsrzin5aS9
lrRr2bzOY/7/2TuT5caRLF2/SlvvkQbAMbbdexecKVKzRIViA1OGFI7JMc9Pfz8ooqpSjCyF9b5W
mcqUCGJyP+c//yC3QZgN7a0zuFO999rBSHcew3TyF+FpW9QHYmg6lk6H4Bo+xreairUqLrO5EoXT
ySqOq/5714hlRsJbCt2azKdLCv7WWdYgVybKS9nNXeCPxgKG7Pyl8wnBNWFkJfGYxaLxJjpeq/Ni
HnSaJCb6GBRmGbc0Mtr5qxMrxU64HsI2aJo1FsRWcukWgCP84jTyRBHsMC9YDbdRIzkUu+II6YMW
1ROTgVBkyYvIh7lDR/8yrxz+QFoetrcYF3Aun6NGf4MZQdnBYYqBzmy2c4YZefCge3SA/Z9D0Mx9
Zhdq5PmtNPKPU39RtxXn+5tDnqNqwFTkndjWDOdBhD/HWXGfzzy9YXhvOwRFf09/PBopQdtsXZ+f
3a+HmrlKpo9KB0E9TJ6PiJiJHfrUgU78GVnBvD7ljiU6ikIWa9auz4/1jgb+FT/GFkS4hrCxeRDw
AM5hyprcpLSHHvLnIFRLI9OGyuRJtBtcKeHWV8pgL5ycnEWjxR0P6kfbpaWXLovGpO8GhZgnGz4t
77z2/FiZf84+UO7MLULm2pBZj3ANen76/Ov/cqnm9BkKWwMClwG9av7/f0Hah4pobnh79ksTGQPf
gw1qbgvZXGmhPj/UL88cHsfCZxTEJAg3nnO8mzIqMjMKqBc/9EQ77oLRi/uTMbnzK+IEsv/tI3c+
QoHjRI6OScAx0wTzFzpXVdbCk+D3L4UVzmtUM/Cy3bQRK/sdvPN5zwp86n2KiZGf31JCbaprVjtl
7z8/9/PLzNTURmU/T1V53X7xWeqzZuh6X4qvYBK0jiPmkeM3D74PK+DnRzq/yibODZztbOLgMkE6
B68TCkNPGLHxtc1yN7lsinRuzaOYTm1HKNlcNX5+wI/GKgxNoMwCOzPkxdeJounsCWpib2IxGauv
VcacCKqACOZljkVx5L4GVZkOcC0iOYb+0k3skJ3x8y/wbonz1zeQUkuYPlRzDDRcTt38+AzTJYap
UeAAWYb6KLM1s6wJJ/0SO+J4+6Ns6apwLo0JSJrX75+guGY3M+SlnAaWx77/cXEUJDSuEdD/yFtM
DI2gW5jw2mRLqJM+91DJIIWEExYZScNq7fb2vFl2Y5t3OVwGnRd/IVidqEUaRMvjNwMGSo+XQwJE
t4bKHpnNPmK0TDJqniDgZRuCRsNioVWmSxcD/WXezuFRUNsglJ+3+KKoCr6W+wOgryntWTWTxJyL
JmzR3is+05iL5SDGi2C2iIBeBjwmYzztL8xu6GaQJUuAZT+//L88cK4FLcqBS402/9dHu6WzCDV9
Gp+JqhfUrLJo5hbIn5q5AvgJWX9+yHn9/nDDWWr99xkNZnWe+4tLmpuOTVl7/bMvobOKdRuRLnFp
e66ZaFd6jW4zWFip39JEDQZ+xoCwqZq/zedf4/zMiey0dFbOmcfJO3duKURSRdZzL8PnJAf+vIhU
1ahHM+nN6mjWzW+chM5XEEipsDdBihy8+whuP3vIHUOXUVjU9deuJEjzZMfu/FjEcTFXVp+fl3n2
SvPpHoxUDy0dkzf8YM6qA0nkXJoSRfSY1Y1OnDDwZSM3EhiVTjdCds+7wMBb8Q8XwIbncrCFf6JZ
s/GBKYB1gWBoeeb5fdGLlDrUmJCDPOgRLrxfQpdF4Bv2QOEMaw3aDAN4jZPzEnaeM8PEsLH47U5D
iJZhSWGzF2E/OU+KjE7N6zUNQTKUe01jHU3R0mGk8Ru/qLPrzTUgL03ovKf41v06MbWJ9vOV0w6P
rYrnnTnIGVXAucLafjp9fr3F2fM831MWLwfCBYZGrKPzJPQvmzB2sWCqhhU8eFb+fqzWBjpNunIu
9VuWepagH7P3FJIOVyEbEBkht//xU9W1M0Kg9ToX17bcGc+kFyxY6UyiBUEUtCRutelY86pi8x0V
Kum3o2hpmNYJDk40jROLWrf5OfhjWjQPkfAlMXl3Jk+f+H9druYbPtmoEr9o79Nx9wc00RkgoM0K
f+X5TsYGVQvuM7hHcd+bKpqB5Z8jNN5Int2YmQf7XhCAciCdMlQPBPL5JfU+3j7XxXPLhSwOYQnJ
BtlAZ49wyRnAgi2Cb+SGuV/iKrPNjcl4dOckHqkrQxo2G2kN/oEgtzRYFVaQ7UgCSk+djCCOZl6L
YquWYuFDSUT/iY7wMaB/rW/SAUPkZeh18Cz9+FYxavuGjrEuFk6loQFmluNcY/mbH0I9qi/ZkcKJ
bj3skpWGfPNpYo7cXQRVj9lGAc3SWoEaJicEIQ3NQQo1cUmS5I3FrpRsrFTDMmKsulVTjOWamXh6
IrbDukhTkylBXDTAeXnSM8JrjPQrrAn7gJEYnOx2KnVSh4vKfTDZn1+KMDdsbHacEAhD1vXWjLPs
oUfvesLNBJ24p2tWttLA7Z6T1q9fU62o7h2rrimLEI3ExIltGBOMSJWZFw3kcvmRtmgthTiNPJWm
9zsAmzCOn1pcu0DNA+w/mr7KH6YY6inlp4Y4Efr+Unf0W6vBnskcm/qr4U7WY9ja7TIcHHVAVBfh
WT1Gh8+fiI+LNQ8EY2UWszlt0TIpFM4eiBz4x4XCnr1yv4YbglmyZO2kOeI5p9Kdx88P9vGF/nEw
F6LcvM1Tw51XJAF+KPTkfvaKPFbBERr0B7idJjZBKkG4KFr6PxySbxkRwpv8/Ni/PPnvpwlXh5EN
i/h5P4IC0MfCqlKvZTZntIq0SIaNEgS9/GabeP+kf23D72dpmThC23OSvfDPm8jBVInZwZV5Nfo5
5UOYbBeLnIYnguSeuncZMr27qA40iOypjXGF6HAs3naR7awGwsHRO0aNc105lX+RaaX7yH5Lhg+4
YnNSiuKFgGGFWK8xrFtyXbLvGE16xwx49hbzOfPJj+lTFwZqa5zsE3ktlM9zrLnKAb1JmMUZvQ+w
Vvnja5xjdhGXbYVG2tZfiKwQxLP74je10BkJj0sylwGUQVwXwR59XhIYmlsPFqT6V1JFuPghST1b
kcfpbpiGl8zw02dycIdVa0qGHtjmO1hajKgePn8E7Plh/nBn3JmsOfNB8DxkGz/bUIwkUIwPQvdV
tgwOgNOqhBAWdDyrmikJoYwk/+5c1QwtOXaFYtqTqx16Sf+yK5yuIYlBateTIa2dmEaAswr6sIrA
05dVol1GJI8RRUEGhlDiAQw0xbCKm7ZwGIyNy6kZGLvERLMv3cJ37ygbu3zTY3MxOnF0JVyidpBP
27tI5sW1In+kwXqybv8c07BFlWYmt6iO2SCcweg3wmzgVosqkg894aLxMix1TiAcsILAO58RgIt9
CIMQ9sR7y9a8I6kb1pMBqk0wWZLYw28e+4+0JG4x15bUT9p9h24WP++Pm3ULJMx9d4PXMrLsK43o
nhN5vyNM7TLTr4x+Zox/fjvP7LffD0ltQIuDCgsK3rli0NDNtFJsnW9xEeNYpQnESKh3tQNAZbxh
ENGw0tuyei0ERm+RHJpjRJzyLSEUYvP5d3l3V/z4aFFqsnziCO3OpuBnp1/1yOM9mWVvcmDAQN+e
B1/zagq7ValGfPl1MwHhUHlAjIwNVkiAlGPvQuiwK3AS3ydpQcNnrcpRAERN2s3QLxB6ptX4zjlR
vSuFwCOtDeVe2q60FthCmP2iHg0TJ5pCV+2iMrx8CdfcLrYal2UTJ412ie6p4xcwOjo6mIHdjEPP
dhbbGEfLnt17mRNYeFSMeakohULIQOZQBqUEY6Z1x9DzZHe0ptQi9T0y8GwfqlRUi8qFLsOTyLho
6YD63Qg/yhi5wqgbmGgyV2qcNJXLGu7DZV/4db3Io8KBV+uZubGHnNJXW92R5lNT5dEXNDfNdysy
I6CeLobD//nd+XX9cS36BBjXEOa4P+dLsjCZhCZDnyCEBh+Y4y7iP2F5jEwNuWX0VO7rVLcBchvt
z7GLMd4bna74nbTt7x5Yb6Ygs/VhFAM28PEdgSlVq3py0zdcyHDBeL8hBAaE6THCjG+joz99KKus
3eBMF6zJ/BqeQw+HCp6TyXj4zTX5mxfWs1C7wbY04VqeM3Yn1fZdPiTxm3R15750jPrOTDWMawB2
D+yL7VWLUcJFYWVqj9OQcdnghQTEnjbDDYlDHoTkrO+OkdaK7zDnS3vhlVFy/5tv+UvJgMEw9Hle
cTjTNJVnl6xTwaj80mrfQL1L+UhlYddLkMRx0RJ2fGU6XcJMqZ4cD4NnO/8eTrqbLCasQfutcPP6
ZPupPOqYmzyalYXbZssusKniKuVyy5iInZJx74/n7T86i4exePu///3yqshGimqalG/NX/XmlJHz
wvfvhRanqJJRFn2QWvz8o59aC9f+AxiYzzFnSBwAzfyH1kLzxB8wvtBTQCyFOg+M/U+xBcHhFt0u
JE9dOM7c3vxTbCGcP/g04ek0kmxPpuP8b8QWINgfagi+FIcn54OP5FvMbjgf32Gvc/I8H6Wx87wx
S2GD5t6yot1aTtlYHqNerHFU/Tpmns3AlcCdR73FdMfSRX6IQtleidzB56Pq8HN0GdivK9f2bsJR
FgcylNKHPBvZoFk69riWPGCMCIVqbMsXnci1ihQzLvAjzLGMKbUDGVT1bCidqVWvdpDlhzyU/hFn
RihZeplOy8Gs7RdRQN9bUBT7J9AE7S0ZSLJJiC0Z3mbbYze+iGqrv4Kmtq5UDTQ2xAc9Tgpv63QB
vZCwJO2AhId01UIIMaCI4tSJKU/RQIXLunXhxXLhlhRTtUKitoITMlwZ1UBgWRJ6X5G3EgtXN53H
ZclNc2cwETrGhQELI3GI9KByzOHEQJfZGKVuLYI6+dNCM3WQPcWi7U3Wyq6s5AuMCDRcRmCtNFIc
lmkg+hPuaSN1GrHheyg3hMwUqrgJcFZ0t0NATpQ+dNpzQ/rSqsVr7jHEhXSWU6YWFltd6Z6KOuqa
pesMmr+e2K/xFUFrWW4CX6YRHBooMNdlxEh9o+Gk/VCVnvXSgpvDmEj74tmSiMNmIOxh6EnRwwrS
4FqEOZI2P7EJaxvN3nignocJkhZz6g0pRDQFFQHDVzUdUrsE5y9q3LyyVK2JHsLmxgsZGYJ6lnS6
fdbmB6NKyfp5/9fUgIe0DNhKIQu3Gb+HkI2/scWYuMdiTnYz/YmMdLtRwSnG5S5a2i35Yk1n0f6m
oZwMxt62f/LyBP+CrAn8k9FqzazIJWOBRxOJN1oPTuM9Val383baDo0v9iJs7JdiSMt6azUe5oVk
gWK1k1GDLEZl5AdTYre0jK2JE3rPLDJLqL+HJoGeeIHZFV+gN8pBrl0Zc3XxUyFMuic2aoFjXqLQ
RVYiXnnIU60VXE3HvIKQ0QcbMEpd7pt5nL2Ai9G8xjHj+ghGIK645PNFXPGywhERqI2KRsOzqWOE
ODvqWFg1zKy4+eS9qYlhbwJnTMsK6RG26tg27i0oEvthmPMJp7opnh3JWNnSCk4iaE39BrcZ5/h+
RMcFXtt0miP2ED14NsvO5Ppilhuc+ippvCXdj3QZhJrdtK0qw3rRx7H2CHkc8oOjV8VzaRrkmZbw
O3cSEZR1K2PA8gTD4RzwO6ogLTitEMvSjPh8KbAf2o6KzCzUgM6T1cSjdnr/lvDiWrlLRyvKlnCB
+bKAYzxlGm3YFYPvjFiphJTzRe30s0+F6srpvulhrm5wEuGWmvp8fWAx6PVVM/r5AUOv/DBWOT/7
Y4Qc0/Nl7SA7nmhMco0HAmZntHX7lBWK7qLaWUo3xk1UFun3aYKttYgdbX6mDJOwXUnTobZ52wF6
uoYaADJouZcD7Hjip3xzwk3A6e/wmBluungsntmuW4GvY0v0dhpmWLJiyV4cG69d5oXtjQsbRVu3
qM3aX7d4fYvlWNXuFVhCcIj90T9xM51whebOuItDyP6LtCItvLHaOoCHaA73HU/xNu49tZmEYS71
Ttq3bdTU32JNGGKBJpwYYD8d7j044Es4bjzYZgVWQ8eUU0DrlsbZKShmiymHFrUEx0nhz/kZWlMu
Gfl6s5B21xu++43GxBVrAyNV6MMBNMEFDkbWXsrY2iPz5vqOQxicKkCZo9MSZ8UBFaZdhm2tERSb
cq01ArZjGdDSKRR4ezFgPke+WRguK3aM28wosrsUXgflepLiFUm2m/mIyN7daH01vlmuEiBqTbSL
O894TW13OnmyHVwSEskNxlI8ehPl0D+0tj3uC5VhLRynwTKPtMcKmfcpxF1iRdAYqVmp78HnNwic
xhExRcWL9WKKefhG9xScDqlPb9F7ejF+KPUByzg3XnTxnG88yxGfxySuDwRi4X7K5N3Yt1OVXCqm
gyvMdjFiDN5Tk4lpczFlKa/APtSbbfukK08UwEQ+juV4wbTQu0rJYTaUZg5rlGikzySIAIxjmrCa
306WACvXIWV1DoxAdIqrmgiwy56h3yLR2uAGkiWryejCdAarvTOy7IuQ8GmWjV9PctvBizkWCSGW
j0Eh8lMfwh1Ne+smtLvyDqaCXPSyNu4Cw3DvMxdbsbQdGu+6pPPYRW5arHUZ6l+k2Q8HK/AeJmk6
T209mtt8gIW2tfss93k/CILbdeivefF7VAO+wq7BvKlrLCccVYT2OtVD/Yi/PrbMAW5lt3WYE5zK
HBZVZUUkaywq8r+7hsjLtNcznQFb2GOaOSh0BVZrx3j3tq3awVtI26VGWN+6EyXt4aA3D2aWeM8R
fTWeyZHQr9vYavHdwii3w26uXhLh/XVgez8QMt1eNab+ta+8cs6wxgnb6IfCAVYImiMStxjMxDfv
R1+zAFhj4zZhJvK9s4bq68gguXwZGgwWbiMHY41DU03JXmJbuyzK6gui/eA2hLYKMTMJMAk0hmPX
GGJJVuKic53qoq2Fdl0hoFnXJmK7xeiqtxTbymM5RfE6sEfzNo6a7tmLHHKhVejc+IVvXw9tL104
NqEqFwQ7FVcuSvtLgs1NAj9bXbu1SCvAAr3t11wud8GkcbgocPz6GrWNtbTz4hEbbP0CMObUsCWu
w5jntI71Z8OUmFvG9RE42PrS9+Qv886NmBAHtYF/YRhi9G+BuHl5e9m61c5r+2aRuFgeh7rRsmrm
xWAd6bstzpB0PzO0RLqShdk2bH7aFX6wJvbj4VH1Xr4zU+MpiC2XIHlHzUoJCwuvJlkh5ElXRoHl
aG0W1hp82Gen8IMJZ8MSXoTDFr7xLaEPC9MsxK0nLecG+9vmPqcFYqPPmMjWcdjgGD5sNLfpLklX
AHZv5aOjl8Yhq7QI2tqchAkMt4HoqO6jOO/gZ1J+bEySS1eDmcb1utAhIbeNg6wU+W54o8hK3CRC
Hx/0quoOYy30J63iDztH5pesQCQ2D3WEoR2SOdHo3bbAj5gfTas4CLLm7kJbpd1yzOp+jRUJoFHY
58ZFC+HvNoocfVUFzt5jun7MIZM96jVc2wWJz6ewDb8gxAvgjhoeBcXQyccOG+IF0GPDjluLC6cA
3ht0aeJ/HHobp3W4D00V9w4AtO5PS8IGnGozJqHNm6CaZFkMWBhbsNXzQxr6clG6Kt0WveWdCp8T
74qhug/i3N3UQxnEa7bDfufBIltBF0qA+hn0DhWGIahqcIaOQ4sZu6wPuTVaWPeGY3vA1x4Q0DQH
seFvBnywh9DDBM7uXsFlne8e/Jd1RN4q0a1+k34jgbLcgaEH63QurUjvqhaYfqKvtvDoJwY1dtaR
VhZrrGQxf2u9FvjFMFfBmDbLsSuxtoCDdEhi1V1N5G6KR/Y3+BBZKsKOmOVB3cQN7tR1Yud3rRqk
c5f6mpiWtuZXIIsxZUHWW1iNmLrc+E6W8QLps5E1EdrXkk1WdulwzJK6Xo9t4g/LuPaC25oy4NJM
i4KVdxTyi6sImyccL6bGsnx8ko38bgrwO0WfHW7KpB2Pdm3bV5AVyor0i1JbtbkN2zFPm8NglOPW
yxDDQcOuH8JeXZR9eSi8aViVvlleqzrHtZnVcts1ZXVhMHbaVtI7Uaj1G7fGXdKtrNu4G1NI5l2S
JJt4UDK9qBnvGZvInyZ8LPB8jTFdy3JSQE1numPgSJA8lGTMbXwz7RZFhmG0QGUHNTyYjgm2rurb
2A31DSTd6VoLsfpZSzS07Z9eUzwU7Zgl7qJCpxSYW6WxuO2DwdliSe0Sa5E+Eag+hAcyv93gKDL9
hdFRgas0hVzk8Szsyb7FJn+Kx2TtJXE4I8iWrT9Fin+r+kXFyPJmHpluMOREFYrAq+ifphBzYwuu
hHRvpFmUN+x++0axg/a7v3TyfyPMnhvffyGgqCxxvIIo4pEnTOrVL2hsQrEUIJTMdziiUtzbUUyZ
2CJxl78bYv7dgXwH0+2ZXWOeE6bQWltaSVLpLg1T+4U+Val1k5XUatwG66WOPNosmQ/Uo5DCi+fP
T/MjIDWfJgxBTPSIM8NZwD8fShfaaLj6SGhFFRfmg9Nj8RiV0UgpkVYkW2gcFQUF9aDW46X6OyDz
o9fDj6Nb6PLQekAa++XcGY5qIMtVvquNgk/vetlal25Smg9ZXNNBWcYc39xZY35oZEG5AgOmpQfI
pJvuGOz+DkX8CCLO30egfkdEDeJtWHhRfERDpN+3oylpZtyqsva9AH5AHWk+TKNbv/qVEf0mi8f+
OK+cD2jB9kCuDXLJJOmc75GGHbp+vc53mar8I1Y1hA2zG78kGKvgaJq338KU9LAr2Xmt2FeVI4Jx
WTNjVZexHadsd6zmaygqVkUgTmdcKc2ZiguyDv1TFzb+uktyniRrygJqdeXUr7rUhQ+KYzXTvelo
8JPLIal2UdvSWxSx/ZLbXd/c14Zv15uJUApowxnBV9bXiSaSgBFvoEuXgS1o8CQNaMI28aBcUTyj
zatfWSey797UZfcCTR+5V2XN7zumXjzrCk7wkSAnV5s3TJ2u2tCC20mr2xpJHN3i1pM5fHh+sbq2
8sJwtlVoOMO6Zhbw/A6AKKc0fnBu/gNv/gbeRCVuAgf+e3jz5i3L6jHtXs4gzp9/+A+I0/qDUHUP
Ciameu8Y578gTv0P7DOgzuKC6+DTOaOfP/1kLPMP/hNEwnmOygDB/gvE6f/hEv/nwO41MLIDovzf
QJyA/2cLLE5cuJ9g6Gla7kxPPoM4UyVqSEz6uLNnocOKvTky8LzrxZWJks1f+4hnxFKRn6I2PfJ2
n862wgZ4NvjeTCUUjiUvoTZb9zepvQpZRDVIgji2V/63AmEzvvPOeFCjoa8oruBBToRaYaCvUTTE
xkiV5KTY0WqCF3ftwhInziQM5sjsOJy2mA/kp6oeqwtMo8MruGH62tWm6RGPCAHig0/FuvLRQKO8
VeW9TKoh2+mlTxAvXF4Xp2jhEC5i5GEMBVpgg64XPpEs7UAyb5jRx03Rm2YY8ltPttnlwN98sUeC
ajCc960jAzBcogwoh2QhCey7EYRKEzl0b9/4nkwPnfDja1SQzWXX19rWCGIAO51cjkXedMMahjn1
BghYt7S5KMsBcfKCbQOAUFF/LfwCr7cutcWjV3GZmZ0nHMIM9YsMZArBAbIU0yzl2vS58lZkGReE
saibhhAypm6TutWnNL+JW6+6JiHZMqnPkuzCds1iCSk1WCZ96G6YB5GpUXnqMnMJcF2PrtMjjUyY
nC4zqgr8fJpjm1tfahhf90ZdE/DhMe9OVyZIEGVa6yXbrGrFaUgTE5d94W0VHufDssOh+BLdTbQa
hZ4s1WzljOCovnMdomzWjhPYFwJS1vcaF/W1pYw7t7tRfpqtMFIrSRHRb6y2jXJmh6a4Mljrng3M
yB4rJYZrCKE2yfTOGsY6ujaVMHMMG7UV2ZBe+GkVHH28Dm5t2KaXOMw9Rb3lrNBVJWjY23GTlRJr
sdYu13j0qV2vK/Amgz4oieO7oC3phbXaXQWD1e+lk2+TWHhrZfX9ksaRcJUpV7NJdx7sYj+wyYVQ
hJv0/Tcj8LVNbllIMcMmNe54yOUCvLncM7hTiyn1QYIARVYJNJwV5gm3OU/b0nD9Qz6bLSG9dVZa
WH+ZFJZwE+v9JsR0dGGPHt+yDu2lbCVjAUwfLlJECV8s6FT7Ig3LO5ui+nKEtncBwa1cxXCt1oTk
dsvUqsIr6LQ8Nzy2PRgovWUxhhRlWRihLrcwmy2c1l7jNzLcjX0zZ9BHVi63jqWYcDx6AX5rmxrj
bxKsbKiKmJLFfShD766nB3VQXmvYGd6bZmL393aNqYu1sMskNE4GTrwxCE0cHeARubeNB0DxNFgT
iZYtPaTYZH4O/Jg60cjxu+gKs1+oK2JOR03hynXL2V2gWqOMg1c3+CKL931uUtyk+RRzNrEOm2hb
4ULQ3XcRGvP7JokgCC5gRMbiih60i5+TBMwhW00dUTk4XNiQZ8bC8Sdog+bAytZGUj5DzJHpMsYe
nPuj5YrHEzGVvh5GqB6I2aKB04fKjXFfGmeEFpVKNIncjY1nPc92mc03hJFG4jxzjfy2AxNq8gto
IQKSRRYkjeAfTpDsYz23NRxQdMwIHrKkdVCUlRS4EHoqM+DFMob1+/bzn536dzs1Ah7Yu/9+p756
6/9r96KKOoyqt7+OMPFzmv/yH1u1/gdM6R/Gvyal6A/XNxJg/rBZL+f8S3gnHrmg/9qm7T8QGmDQ
w5SQgpgt/J+TSHZw9nR+fd5bcY7Cmfj//Z9vw//It/xne1Wf/fzXiOrzdgupEB/E5kxF4EFmOqu8
Lc0ZZOm50y7J7HApJgcIzZGnv1yUv+npzqvt94Ng8D2zRUlAP+cINHmnFXh+YSqcYOE2uPW0CvFU
XBaJ9btYUcqXD+3jfCiUctDW6R71X9QKuQqGknBDEPQOm/4onZ37TcGax0RvMdvX7ZRRaVvMAawF
a0X+4035cHk/vZxMmhnu+hQ88A0Qq35sZMyUcKbZ+mEHqeHBVO4TwuXV5xfzvFeaffrArCEyMKTG
feOMalkh4oclZZRIPPsHmOEnVtZ82dLpYfRT8pT+83H+mzsHY+b8gtIe0yna+FO6DK3PXY2FLME1
Id7srF6UFzJRBs4vPoT8xCYsN+2sR6YSpVpYEoCZ+WEeqwUQ1FQtVFKpalXnQYS7Cz6qizD2kn3b
u+DU4KF+CU84BaqukVSTJVgaRb9QoQ/A5Zt7M1biTzPut7Krm++Z5bHKV41unsbZqkMb/Vaxymbi
KixbfyXCRKxa+unTGAfVMXIkHqrCdKtwZZHK94CHm3yKRhdhv6rEbSBz+9qGAXznYH9Hn1uR+yAb
edV2mYE1qk9ogteWOPuA23XtNO0TUpXaWOs2QqnvMLPu8sj65kzeLbwjtQTJUxdgmF/l7N/sz+CZ
ZvOZSsTTilqo3CYl2TNVRv1bx/1bFfrl3o3D62J0tFXk52xQJpmgPeExV8MgkiUpv8GFKcXJ1Yzg
Ig4jgstqt1hEXfcmHM1/GNDSr0Yjjq8mv5QPDekfS2qppe53ktgEdvmhD0gmh369jvUhvMxqe9my
a+uBN/YHW+pOsu7xyx2XEiGmv2/wBBg2EXywh9IlvCOklIZmFTENxq5JP2SFERibbKAXfoR/qz2F
SVddZ7nB53jDYD7ggdYd8EdtdzT79SICcVfcVTs8BKqsLnNMColFLRPipHweEYXTQQkFgrFnZmDz
QWhSF6X6iZLPI86yHJaoD8z2uY2AkuVSJ4VHm1z5EIXltM6iOd5x1qSHJZYDiz4y/P2Ek9AxCMLq
tpiy6kZV9THwR/FMAGLzYLUi2ZXkjFzOXkQ7eOU5o3sn2rRNNmwzJZ7DpLLHBZu/pKwWpKHVkX8L
tyzeavC8Lyep5TdtCum/bkkVJciRGRTm2Bv6lPI5d2bPmcjBH8UYbAwXfKs9kKKIsmFioBC59QY7
mRxiYYPLiG/Ir3FLqDp/9gTCfIFvZrkaiv6WnNfHmMCkhYa30tZSWXeADg50F3Y11F3Z32pBb2xN
Eek7iLnpblSNtWdsWx5GSsAUV0Y7v4YqSOZly9TIQx0s9VsRlOMLgUvkyfLSHDsZawA7jrkVgx+u
HITtkPkUPIEkKN1VqZccjWiVnPdF07AxMYcAL45wvJiNNp+JvMvAI7AhJ4q+PwxxHC8ZuvZYDmjh
tu4wclaJ0hYImwA5g3bAXCLxFwKqw8VkhsaROszbBLHjnyDBxEuVwBNy3PCFYMYn35jGNSIU/S7C
wmJnduIrnupHDFzkPRW4RcvElRbRdNFYebvsAqyIQEiaVdCjASgRUC+ZJ2EDUha3cYn3bVZOr5FE
tUHFRPikF8huTzJouzY0/XYY2w1e0XIXa2TNEwQ8J4TxsTJwyseKpgl5e91rKyZN+aY1c/FCFE2y
yMOCadKwKQspHmy7mIdxSUU8k9vVN61WiBfWbW8fqV5sdSNEwYM4cB0iXgYptorpKkiTZgYai/Ex
h0GINYQ97Y3BJyvWtJ+rvK8XJGZoxEUEoPFFYK6QsQLhZNuQDWChOh0esZRwElJlZFe18vYpiqJE
hXhYBka2lF5F3JinkZyqBasg0bxLGSRvwUAc31TWa7clghm31+JPeq7uGoWF8hc2gbIrlgSHfN94
OEL6TPeOMqud8KJklfdT/yWHoALxuuLIuh+P4xLGYYYPcjbE3/1YS2dqsP4QwHi5FVPsrESK24nB
PAHmJvk2WyK8yMuCWcF74gyvxHhp11B78bqoaaYrNz7ZoZ3tMHvNsd2qmDoa1mBBBmH1SL0yJQLP
JXpJkBwD2WXqAOk9Dd287izL0v0GEUtimudz38vAjvde7Ll4OgzGNrMjta5g/OHmPEY7czYONxw/
3NEjwngaWntnN7Z97SA83IWalF89e61kNG7TMeTyw4l+hPGuVlhAehsuUvogPGks4RwWJBU2iXnP
1GztwEN5asbEIhzHCa/g10xPNQFINLKIFOOiqq5ao2g2iYp58kY33lkJ2Wb43msrNs/vTDywE4cE
tXFkUO/ZH/t9FwvWjHLIXefQGGo06Z7Tuv1RV/ynyP9NkW/4FvXqP4ui1Uvz8l9vWRM149WLgqb4
/9k7s+W4jS1rv0q/AByYE7jsmqs4FkVJlG4QFCUCiTkxJvD0/wfK8i9RthTua0efOOHTVglVABLY
ufda3/rfRiLf/UFr+PUj37DOS+oNt5+zKPpeavW/CnzLIvfDctmwkq2x1Pf/vw/nCLI9+NS3yn/Z
FnwLxIHrTGgtGwgc9rh+g39T32OJ+bGAM/GE872WDqHJ98FF/2NJWijRtjrzx0uURtC/MAOOEGeA
THl+ZV6QRxzYBeYN0c39PrOLvDDfd/heLLxrjAUpYulYN6sFBGAzLEybmr6cGEpVB28k9CsCA9Z9
WoJpWNejdsud64w0noHnTzxUxxEYA+4wuxiOTY9NlIU/d4S31ldlPqXlZhgkBrAwqMtLL0r1Cfn6
QPSjJC1rcgl3A2BJpLzhPxhtNezHahDUAjrchF5aX6YLbafAO0WLw8vse0KmQaTLpB9BWhUjcwtU
H+GWwlWNoNvnRRdBUvPdnA3eo1nbKMRxWw1X0kzox9vJ4oVoEG/A2nFiM9+Xesj3kJNy8rfCimjH
IlbiOgy7AabjZBJzYBi8I/166vZdkw004BbaSlK42aHGg7ZL54aGgQAeRjy1m0a8CYdouLFRWX4A
MwfdicjXYY9PqtskbYtsPq4nm7yEeJppdVI+p54aHrrGnd7RNQLo0sSq1kcAE2R2RY3HD3Ujs7cf
QMuoy9Gz8n1r+0u/Ixu2flwrhvtWgwSksmq0CmLcmpgDqSOz0Tv60OPe8RDXl7hAwnaPjV11u6Ql
6m81cKtvUGFN5llR4dmA7WmPdch6/MrTGLLTTqxkm6YGqSXFICDxuE21Yb6BAMAfioMisnMD57sP
dvY4jtuxS6t1EdsD4E+7o+nZxHVN5Cm2BYLIpPk4I77cZR6rkSpkCeMs3emxIL7J3oVN4e37Stdv
iFtNLiBw5Q9ARH2S/HBHrmsgkAf6WbG5sRtS2AmexgOE9L1BjKrWNf51bhpLW8MWRwuJY0Ost4lo
whvm8jVZFQ0SUuXGpwSpvFhVTpHBR3OWlN2kJ+IiNapjF6U2A09RbPBqRx9ZDQ0+RuhPn6DkWoS0
IEzN9nHHCC3KZX8cm4LuaI6Bi2izqH0TuMOTCYtwQxD7vIlgthXElU7yiLPBQX2J0CBcx35gXRY+
BkS0A8GHwHfs/UDCJtnbNADZPAw2/UBSD5xNG6l7D2TftcI/+ilHpbnpVTy967GfHqKZuIW1YfCG
XtUGceVDbbQ3U6XLa+WltL26Kk3lCuQmOoeWd75FHt9bnx0cHLqQMiaU8fuOOBG9IkUrv8vc2l7D
EawZhBegqgLuQxGh9vFIwz2DBevXE/C1cFeVLm6SwEORfFGj56Wn3dU3FAvhjrZe/oUqaTqSYlOt
daLYeOkppLXVPaXQHTfORIPUI0D7kOY4WSrXfoQR897LGzLnshhjVziwpaPIw40To5muVVL3/i3d
8Qip1Crz6M02X0el/70Vf/NWpI1CK+if34qgC8svT5186rvv+15fP/at7WX9sXS1AChjVuGV9p0I
Xzh/gLYQ6OxpKtCf/i7xgP4WDV40+z7D2ZfB1l9vRtf8IwxCn1ExfbPljWr9m1cjxrIfX41uAMOD
AQW4FAvGs2m/aqV49sSoDLDeoSrjRY8u8y1T1BDRc/cw+dmngObvqq7mblv2OlyTstGutJ6yU2CR
KWx2wX0wBNkJdGN2pfv8cghcZquGf41gGR2oSZdWpKzrqXdZSWR28nIszI2KMWYnkDB3dWiAmvV7
2B2hfa7h0G54FaGPQnC9tZTQq9jimAYArHWKx3VtmsrcQDV/GPIQvSXhyaqu4Lt46SefxGegtPzx
DG3wmjdlc6yH5sFCxwBwY3BWKdiNbRGJd4xN7qgpPw0ItPhs/ZBX8hkPJ3k8lUCu7ttnC27nyi75
PX6tu63ZqAcf1jY6J9KQRoOfV8a0wXWBaHAwBCPy4BiXoJlQ3ddrCnD2cAX6VmLbwUbole9zKl+i
Yk3FX5oPnAKXtCB+AqeBvVIh23YTNfypweQ7vGTXJhGm3h5k2yFFRoPgOM43vvL5t5l7HoOezF4+
mSKRXMmQ/dtso2GNJ05BnTvd1uus+RxX+Tlk2LrNWw6Zg/y58FzF1x8de9srwmoxNmQbXDxvSdTV
qwiA8SasyuepVNVBOY299qIp24A25eGLC+gpyg2L8xDeA4Lvtk6ZwxelRcJrH8IsivYAIONgr2lj
tfdREGXEdvnE1hv5vKtncz6MAWfPYVe/GT1xDCzj/uUmkWqi8eGqdgML3NxYk3MuhoCukRnej4E1
EMHOfxWmdx4kXypOUQE7RkPCIVi4TRUX+iTCzuZZv9xFHX+WCvNathYPzKq1t2LA3umTqsxp4sai
GAOpjjaK+/kZpJqDyI+vTlzrJ1j+XPuZ/5VGzB4Gyyg3YxfAaIemx8CWs4RuBLy4IJTWVOQQN23z
8HK9C7aoTB25rbqR3wvpNVzh1ebSKxwaGAjyk2nFzyxy7mryDzEpcHcGKIzZfPMpXkHT2zzhfwLM
++QwHiUOLQxWQw2gued0UcPcTzNXflSsEyEIk0WIPZMSz+oIRfuAeJkcLsEVDnpupoDV+HIySjaL
69Hgj9ZZ8akgdG0bmUKdwM17CKu5adG5R6epDK27ok3rNdavdIX+mYQSiI07GLcMjulAbBBRc0rZ
gG/HOEGk3BqaUFUbKquK5Fp1s73NBItyGh2MPLQ28V5wlxH9g6u/zK4Cm4XqmDwIgiHJt7CX8y1G
mWcUrvI8JN71y/KidTgfUHvaW+1Sf/ZUfKuqR52NIrfduIDqTmiEy702nWwLC5NlmGHcfLm2+DYX
LFx5ifNmeYRwC5S1CtfOyLl5uctnQaA1aMRwj9I0204gKHcUhvkGgXmN/YDzvtzhLPGzRMSydyYe
Y+HA+nbncD68XOaupxXQNdxGOrO77UAI+CMyNePgJfxUKGywDHrLOEShw9PLk5/kxD+MVvYcg1qk
xGb1mOSUrJmDER5d0ug0m768FNLU15729sGYfoLOS/imGMvLKLOzbS5YEdB/jUPssU4risbLSSTE
jvvcZLTxykuDzHpcVDy+RFrAlObhYM3lSmp3DwaMOF3gcZeRNQ5rt3WQIHemswER2a4U8oPj6IP3
eIlE1rIwSbDznK3B3GAtYouH28ile+GXYuk4JziYAf2V077ueJiAe2QWT02yjga+wthbrCL4sAcy
OvkvkTtfn012qGk9LIt2kP6wNmLjnr87IeSbW6Lx3LM9LbGAkRGsvA6dd5aO3ExK19RQkutHJ5W2
p1leYkfR171gdux6nJqJFfByrpnDZJus4K9ENxfu3JIC3tUdId6BxyMQhhX2SyO6xUNCOVvRVAki
9awE/++iTyHEL+NPyfPENXK5s5rmCXqFh4mYMrrC7FRUbrXNjOTWGPtrsUAeHKL4TpPUuBEMdNcW
UWhMPoH1MIYttcHAd87nj5mXFxhqqAj8bRhYrbGa5yaly1/pjUXSAFF6pn3vxVm+AT9Up1eIXPsT
VE8uoWNG9LSjGFU6/Wxqx4QQ8dsESTJRi/SpYrFrWoD06ynrlplriAVmJjrdWvtKGac66h+Nrqo+
Ewr55ErcIUiddfYcKMcgkQiM49yuefyPh66k0xcWGdho1I/KWddpw5pP3cHYxLyKNja64Cugr7Ox
yx3gjteZjYuVmpkW2gGcb2c8QFMnJ5qMx/wySkIH5GOTWzSopkzJa28grWIbEwVm3JW07E+J8O+/
K8X+ZmrzWlxIXbOAjPAwCiZ6cDJ+3PKjtLVnt2r6g5DTtMeO9kwIQ8AjKLgHoA6Bn9jbtSt/S+v7
aTS1HNel2UZjeaGxvaqnwsm1gevW/YGM7+Vhxxp0ZPa5HLHGkj30/OtfSYek/l4p+vIrhY8Vm3wZ
2hyvjjaPseGy3+9xL3GDLJUAyfTGNjbIuns50n+bgN9sAtAaMnf+503A/zYZD9DH9vsdwNfP/LkD
CMI/yF71TT8MXTB2LxPuP4ffIfI1+qvYbGH2LT5civM/NWqL15aP2Fh0l1QzHLJ/7QAchxxpJC5s
A75tDl4Nu381/Gbq8eM9BFmM/0AwYl6L8Rfh8Y8rBYK7zd62Z4SSB8GaMCxA62U37Oco0ac8Vt6B
JEbIvdU4Tp+9qsVXlLmKvhL6zLuq6k3847XxmIvcvMqQnYIMjpx7n901T6XaLzdx64rrJEe3NKWD
vIdcne8zeMbHIvatj1UdBVhx8M4y6N12U6s+IU1KD4xZ0MLDAtPNqu3r+cmsM5yKEWUGiaG0msHt
ZaewzMuLSDg0xR1Wmu7Kq8qz2VDkUbEx0iJBst6Ox1IWGDkRqDpoQ2JxKlRPxxpRzk1VB/gQ8iC8
nNqYYkn42j7DMg6vyZwwr6xJmleQSIwBe7Kjdjiu8r1V2fGDFcoQTVV2SxO/v4ps6342JzBkPlj4
UrmhQTpr7TzD7UhWYzGR4GoNJSUxDLfbcLIY4iymNlyOGj8D7ZK9l5v155FG3c5pHDJYJH5Fyqbs
rXJTH8lA7qZ7bBfpIWy7bjO6Y7ExxWSBZbL791Ugo5uuT8ZzV8n5CbT19LBoys5xRnqSM6XNte+k
+owuU65hkskds4H+wtS++lQ4vd6QQyJ29ZAPe2Fl/IxYazYnZX4YytFeqcztPxuhw0jTIxYlrC/s
EpvwgqbumViuMrNCdOZFV0VWF0cjMI55JrJNrCrSWInI2Ss1eM9xSO3WYoq4YFY77n0zjI52kRS3
1ixmWlxGyptgAuezZW7SX9TulL6LJxl+EMovtjRE6xN23fFNTaz4fRi58mo2ffNqbLEmr/rGke+j
zm0v097M37iVW+8L9tjhagSqf/B0jo8uyx3njKJaXsWxO+8At+NbIKMVlJCsLbpZHdJG2TrDpQ+B
9zZsuFfYFLJ3SWc3f+q1rq8j32fmqHvnwod9iVTPlx/6QMgHVScWZO/aOxdYSg86mfS1aQzOhT16
iNz7Kr5hXtfep7MTsmts82Nh9Me6jMaIBpkXsGWu7Q8U3/6VoiI9SgtvW4rBmil61ua70U28m7we
L+xkxPWET/dgUD8CMukeoY+a2Lp0Zm3tOhKPyhm/eEoXx3iqh1VBXsWxIktkBxqMHZYo7XeOmz1R
nuOoN2LX/iCC8r4anPld29bTfsYId64Sn70kzkrj5PFCoYsHG+A6GcBgsYvw1WMbNemtoJIlXoEu
w5OMgmRfDssGlKH720AiChzYn21NLMkXacxFHB2HHnKf+xtiCYo3wmm7T3gEhmbVZdY9BPgjbSz/
VI1qD80XJrgvCgrXPM3OoCHzOy/KDz4Cu5MfzeXRzQrsV3WfrXoelh+oFOVReEW0m6SjNjA22Msy
lburWzIdZ41rz8HusZ6TKWMO5WUPgkr4Ldsm41zbeH64oLBYmiSzN1A86luj0bsx99WFauAyr8Nw
53VpsY/a0bwCRZzvVX4eyKt/YCJdYb5zrHNqxs6hpD5o19gJh+vSHJonp5v4JsTLjKYW+wrj33bI
sYrTgXWCh04QtsLLe84xdQv0OCXWppu5rbK9obuZxurkiXUzYE4jBnrEQhtNWzopLXOEql+26uHw
Np4nN8WnDAQrp0HOYw4QEwrYxrygBY6usYzMrWUZD6mdgVCMY1qiMg+JjvVJsAmb0l+zZX1Prq95
zM3W3NJcVis7zapPuZ8QSVEl4dkrAv/Ytp5GiAn3+iw7I9sIUa5hf7ePfir0PmXec2u2eL6WoAbz
egiYuAdRMWPaDXJ/C2E9fBfy1rimNE3ek10tL4t5+AjN0z/wRpzXU9oO12zJJLfSmF62KRLjDnnk
ZdG7zW2XRuoqJd/hnRHJ/JoBQb2tUAvsrLCKN4zW663XKuc9xDr74Hf8yiYKql2iU/sL2gk8XHDC
Hl1HLS+XfnYfECHLt8AYsMaSY0ySWhrGTFiTjAyQeMTwGSW3loV7bmSLgaxT6Tdmz6kvE2/eTFNX
MwS3gwt0Q14KdKxKbohOHLnR6Mrj5WSjUZt4xKfY6fcYrbolm6Z+m/fRXlLws/WN5ttscNxtPZA6
tJo6E91wb5ToP2O983EzX1t4mE8IJrKPo7JpmSyahgE70JVkiV+0EFoOwoK4Te5oE37IfF9uinI0
H/KIJHaeTGQNdvZmsn3vdkbB81S7wjzVXWDsyG9qb4jszI+ea0Q7srvbcz6NwduYqfvOotP2Jhmk
yeFEZKynyfB3DlOD62ZSn0pMrE/m3PP475tupqGl3XivndHCjRbQS2mNCw//L1P6spEaZlM1ko+y
JKmZkieaNM/LCIF3f5rGNPIoRFZpr/JpXTphd1axyg8V/AdJ3SwySDRtA01IRIF6Dps6Ow55grtE
j8altLFbQye4HYYyO3Re/8FrPGQXVUvDBeNo/ynrkJTK5NGM+meCVD4Elb4r2fqtjXlki+6o4tiU
ArmvkvcIwutTnQhxT8fFfsfWs3zCK6DfA63/EAylb3CrSxIDs1MN793sT7Vq1dDtGashp7mi1Cpj
DFM2GShbaVedu13Io5eaZvCmH3Uf3KpOTaTc+dFzT0MgYHAzcuEIUrYJJhpo0kSVue8nqp59kdTV
lSQvrfpQ8wCl9lpSrDTCd0XXpDgFRobAbEztDUVedmHFU3nqGyk+eJOnPmLoj9PbCFjeBUZIq7nv
kzmJ9vkMuKFc63ac4RzEnZd+DhLdGm89wio88umhlawQFWcV9H7pbErDZA9FR3A3+O17crfxyGka
kSYDQELA3ffasMcDO3OxRozTX/Mn9S6kUbHuwVXIxr3ssXFgoTIqb5UhTXxniME4UIu8LWf6PwkO
wxNvEONNYsj4EmqFhV/Wmq4ZaGFh52qe5o6RTSLHRzcLp1MTLj4IGAJ7q9QT3aWl3HJmu19hBWku
pDyCJiKGYNqgMO9IgCJPklBeokuwPGEEd8/FjFc2VUZ8nIGyHPsoik5NYctTZ8aXbKbztSmsGlaE
322mWKiPPdodTN/etJdqkLu0g51AU5oJm8yr7Ri5Nc0pBFSrLqrbNTmGwaFnvgpw0y72nhmZz25P
qheCz1pqpO8wtD/T/fOD99gf4EE99a5Qmfc2UujGuzWEZokp8r9N3ItM4TebOHw+SwPgn3dxi4j5
6ouWT9X3+7g/P/aXyIGNl+lCVKIt5wNmZuv/50YOShIDG+D8BA94IcQc/tW3jdwickCmvJASBbCj
ZQDzvciBao4rHQrTxoL5b0Y53rJP+64XYMJWW1S/bOE8NpVof1/t41KXCEpCuy4bm6fKIwUwDb3S
FTx/zCQ0StRnI0K96SCdqi2M42IB8Jo1OuvyUFHt7nmwTZ8bJ+55LJrMpTWxLPOFLn3xBRWS2Egw
kM2sDiWyuQycSZaPk/sGrN4cYIUfehzyQF1F2SDBm2LkydtsntMkvDGl0YnzAMAEHHDtk7U6vXHK
BhC5Pw6d+SGHdEGLEwkbEB8G1mYJ65pKh4hKgYRuKLxpzqgpvUwn9HNfdBeJLeYKGYb5Isqwvio0
0he5RktXyNoGKUAAPL1fVR1ElC0aj9ZkWHMhAfX129lUT4nRNjuh6unWs/NSrJdEED7qT8b8sS4Z
wnxlPv/XRfndAsSIx5r45wV4JZ8g9D+WPyy/rx/61kchH574eGBHfy4xFvS3Por5h2sGdF2osRZn
zPeT1OAPi54L3OuQ5emwMv5afq61mAj+mr5yP/6b5We9EomT7Gw5S6MG0yCuWHTpr5afplZXeQvy
gSY47KQhLqQ+NN4gSZgxS7ATVTIV1WWaWeS6S9JbjhoPUU13I6y9RyHpDlibyUydQZMP6s/M8UuX
Tf9FvGQqrMhTRsyjyhar6ndn+m9apcs3++7BYePqw2zOqTUDVPXMqX/85gERNVSKc3OB4EffWQlR
Wd6Y0hAZhMkgZkKw+esDOq97ThwSeqxFbjtTbp8H5quekyFzpzbYEF/4fnhZdcJI1/mAgXKfkrij
6CcoQx2sBuNuOGI31OveHUgaZUw8RDu4s1Z1jIREDz8PgrOCJ2jBMHVw3IAZ0FYh5lXfknxq3ee2
1c174NvVRdoukUhQ9cBGgS7EXq4aVcBj0D2y33hEnXRh+IO+y2e6AEwGyCwpawqkVC3S+zCJhhjI
HPEHTC3xUK5GnpjEcnJF1Lro2r7fRa2BaMuX9j2GQ24C0PTeY+MUAH9cqA/buaut6wZe2DJMgfKz
HWU4xltr+eZmgpZlo5LYvmefhgALxTS/rW1S9QErmr6NEUhSDNsy0FvSYsCTDSOQML+yVXKjX9hl
4YQ3GrMVQs0G2Tl7R2XQmbKxZLUXUE+EfT1nI544X0x+/WA7GNhOXQPaTsQtLC+DLJ/hbm5K+94g
hVq/r2HJGB9B5HLmJBq6mA0KIa3HZmEFrIdmAYAR88vJyAmBjFfsxfl2djogvtEAwoeVsSQd30aD
xRujakqs5bgoFtQXbptHMBLRux4Jwruhb/h4OFpNsVHSPyc0Cea12SpOkiTQkiG823XtQzKWUDzd
2QRV8JW75kmH0yKNHIGb9jrYXBPmwnk9YHm3LuI5pARF5W7fi+XkhJA1uX4giS5CBYFgI/PO4ME/
QNVI4nE+G4GZ6FWqWbxOTKN/o5Rk7NU2E4sQJS/fsvHFKDbVQK4Twbd42TwFatoe9XTvd3Z3bXih
FusijZjyz15fPcZp511NU+y/MwZhXY9Dnd86ThY/2kCLD5WRu8Ga6BrxuOTCva8dkxRGBnYA3mkY
3A68JIM1gaFLCzOPsulkk02qt8QXh+/ow7Td2Zaz4aONEtw2QyM4vaMs/ObG7HDH7DCeGmW+Lnrl
WPNqcoNkdjYpd6T9NBaaayfJaRufGblhxOcfCUat9ajvmP5Z9yn0WbmuYu6R1i55QbMls+4BOHF5
UNIjpqT5sVQD4wx27wUTwZlhcYm0ZFFmdbVg50AitQ8to/Q7jEMsBHwMnGBp17a/zyBQXHj2QgyM
dAvNbUhBq6WRrW9dx1MH9izo88CDcOrR2HMUH9jqvAIVBGpQ65TzgsMLOXbvNdVFSfumuaf0MIx3
BmmG6rKzG6OB1xvyTfIJx+zbGQpv+Fa6ZpHdRQPB1LoAEsjQ0nGO8+DygJingnPZdFgh19pc6Ilh
uMA4apMEkigP4B9gUmX11ArpDw4ObmRiRLlwlYF7duOTLUHx3zCewYayAA1Lt7LvZU/kBK3gIPEf
iCzv7Zs0IotxjYw6q54Em+frhLE/3fV8YV4YGT7gA5u4Jv3YWA3RZSuvj7vPDrmn2Xu2eS1afx1B
jLupipLNxAo0f0RkTB7TdvuKUKT3n55aJbjmHSGF1ylNEf0+IGY2+0LtZ2NHI5QrjmDuDLZ9U/D+
men89PTrjlFpB4W9qirfNI8JqTcN7lVBMcY2zfxIviwmF4wF1yVewAdv6CGezdYbYkb1uAai07+d
qsnYZh2oSPgh7drp4+SIHj7aOFEEoriQAwnrjjXhbReFdzAIDR4vK5eNmXwfJ/Dmdm7t+SXiiXpi
T0rkxBFRnfmu9ZDjISQilHZgC1piSMgmYlJlMurgYGV2/ClvI/FFxxjfSqspb7rcv+zHRk1bxOb6
7Fci/ug5Q7lFAOJuqrJ17ohqLD9ablLAZTJj4OJz4a3MTjS3YTxla1EvM3ubvTMb8jh/a6etWIGS
6HYkK6D/H7ReL4Fa26EY6xvyL9mtu0O/xe6Vn3ms1x/TsE/eDG5+OxIRkO4b1bo7xVh7ydcswdZX
8k3c+vnbsXDpaDVdWV4SS2tt8kzNp9wIsx35nfDr1QgEKReCx97gVPe8dOqH0gN3tknnttzReK3e
07xdTm0hw1Xge32JIKTX17WvGcHLodjEkWifZSOaTd67+ODnNKbXadvXXtwKTEV0MQisnigHNm1j
DxeqLap9kKsJg2/uVEeRaHsXe3Q8o6reY6+CScBvfEgz5NG8pQb/WJKjOiCsEP216tzoTUg4yN5A
RLkDgeSvjdSYg900+f61kXTqggf2dDDLcjqOxuJl6rJxO4FDWIO06teqn9JDUrb+/SCH+bNp5ukF
I7L5oikbvPS/rlBeTY+pT9g24Ell6bq281NJNBWx20H5ck+QZHmHiRcAJrctz7lSEzqwYvbMqkeo
vZhAjJRF+usv8FM1ie3c4f/YGZKhhwTwx5pMVYUTpJheTrqrG4ypEf2IkX3byjUasldMwuYgCDS/
OeqrLSQ/mxQLJpEQbKFEw1768aguRi2R0CA9qRzaj3QlT6a6sylyfv3rXo2tX46DItKnXufssqn+
8ThDUvl9G8bRyc2WEkeYTf2BllH9wdMRz75/fzBUlkS1UaEDC391KlFLtEZMFXoiNCjcVhUoW/TE
+foFX/PrQ/1cSWNZoNPLZsD8m9goFYeiNrTpnxx/YhTEjHPvjWG+hrBQXbSi+l004N8cD38tjQWG
/wyZg1dbfsg0PDdybPbzwr/8+g4ssXjBjIKjOZLFMHF6f/0bf75HcEV4i9YAupmNZPTHa4e8WZmA
KvwTlv/mgLnBOWoLMOn/4Sh4uxmOw2NhZ/LjUfLIJgxdtv4p7hKoPJCw9wLT5v/ht7ChDIjvCzFm
v15lPpIl5RFRfQoJ+9r4YCfXtmZA9uvf8jdXidG+Yzr0ZhaT+6szluHzlLWsvJMdNXIvGS/RLZlG
obdTBLu4qzWI218f8ufHB890FvMiOnD4p1enr5RDNDG4ck9GFfkPFvTs02wuzN8+hzpTBhM8ZR80
ze8SW35e2PC0QiZx/NrQ/umGDG36SHPt2adsiRmNyKtj1IuTFhtccPmvfyI3h4D+xEpjy//qWSXy
seFQhX3STYJ5YIEmzwtzOHe5YchBDTZ6uWt+fdC/+30LKIDcA8+nE/jqoIMpSyfBE3hiKEjgduE6
DMsYerLR+e1CW1oTr/bl2Nsx8buuCEkd/GmlJUETmCzn09y06D9Tq/DGFYLy/K4e5uaa0JeElGG8
Mrd6pK4bqbXa60ENGFVdo3XZXFTeYx7b7WcraQEhkxOcJ7dB5jO1/vVp+btvSusD0g2MDRo0r57n
pfRGMjag0diFw4FkJOsPqTZ4XQ24Fu0VMuDfvaqsn59DYPJYVbwd6ZUHrxNo4px+ScQr5oTagFpX
k+cCElzr7jOwH95YSR0t93sqrWtF/MKHYfDgdTsy1HeqtRH8KaJr1I4qSe67ycqTf73qQ5ABdINY
DFy718J6NMHJzPDTOxVzQNENwOWjFRvOqUUxx5xXmb9r4/x0b/pMoVgNtHK4RQEW/PjIVLJdiv5p
Pg1uBLvPTFEiTqrkNtU1u/FfX/G/Oxh9o6URDtTip3szINrIjBWTGI1Q5DYts/DShE6JtRdHtvzN
wX661PwyYIguE6ylFvNerTrQRFbdRubE0N9jY/mVAc9CZJf4619lv4IC2ovhgkw+3gj8OFr8r25k
yJ1S+7UYeYE3SXtrsoeD+Ru0XfY2gt7dXtTpQCfkhVWfjEmh2ZEIp4H2sLwGK6XvEpnRJzDI+oT8
ac31hxme3wGNL60sul7OzsyX7scImHPej6Q03XaAjHHF//qX/Hx9yFxGumbzXnMWnOSPN4Mkpb4W
Rdue7BnV4wvvvhgTuY/NKdz++lA/LX4f0BonTrg2LT0kID8eqotNGxhX0pwafHXHwMYBvVKVYjpm
g2p3S/3b/uHy9vquYenyWiOAgqUP2NfDQfrqKpVz4VgKlfDJV9r9grxuODUu8P2XhogvSPLZqDn3
3lYwGX7zpLNf3yIQQEhtBDrIkW2HSsj58ee6edSBSJLpCVFAVswbMw2Yhuwn0mccgrh1FHyC35q5
TB5bC/77QhUsnSbGb90tgRT2ErNgkvlYbOZs6deohnCVlcvQFqK+4D5qMLCk+56//1YgfMAgynjG
O4RGnEFLywKnOntpO79rltuLED2qB6bRVn0amqlGb+23+tYbNfj4Nsro+yGF4EXP1BKefhCPNkGm
5jI1Nq2sOI90G4CEd/BgXOnfVoDJ530FrW5FF7ucV/gDbPOStrRZrlvh9SBM8KFcdhnAuzWY7nnc
VJMiZ7acJTYEaa1diGs9nDUrUWG56pUkP2Gxg4zVI7KuklSjr8kLfW3l1md42BlNcSNlvYTgH2iG
Aj9PbgfilUg3MNRcHf2KFuV+QfUmB1Jq2JQANODfzkr8WXwOGcZZJs5LXaNq1lpS5t70TLdcjvDp
4oaN+9Rg8TjGgaHvaj0Xya1TgO+/zGJm9+fWabkgdi1Y3ZVV1NldhU/F2jR9ZymEEDhmM9MOLmPf
r7I7UVvtZ92atMAgfHvzFzB4vXvVKGtpRb1Q/bUp+SA/3XsEVU5TssZRDaXcTt3LgbM50NHo6c3J
rCMIAfssh6cPQueqm+FO7gMkg5gWnYi/sSfDyPo0j055VDrtjTe6ImRtrZYwiE2ISZQWTpI7rX1D
jJDX3VkSANqGMHoar2wXK6jak0DnYBjSPQ5D0yLN67vBWM91WY8b3+YR7s0xd1AJlcBHsT/CPHEH
HALHBEZ9xHvVAixWIeEmU6PuW2IscraQK5tc3OYm7mEzkz/ooVgMpMcNViYBkROGbHg3vNQB9Oy5
++YY7O0h8Sv6ZljmnAnppqkDULwYM5/Dbo5uwXfq268tOC/v+TJOAmrVhRv+KKMEQ2vbt2N9+Lqs
fJtni7msmVE4afAI4IDW2+hN1j1W10Qe6PbSm7c7dxks+h53kQp8NkbgbjmvdlvwGyAnkwwnyUXf
aUkf/utoBhbiI6DRpZBAi0c/rhIuVtx06cQCxZCrGmjoQVvmEtOxvP6E39NkTOhdIZAVzCMQRUqd
7qogM9uLIiTSAK2gwaSBpAlOrBsNrrOD8xPLc/vC3LVwwDS7GjfOXTkT7vGRfAEH4WkuvCy7C6pQ
91fIGK1FW1u6676J5PQF/Qe3bBog4j1PVk0XOJmojR3W3whiG4iclySw9OgWcK+4THMyVnDniPcU
5hlsPa/pqsUVJjHIpkSmws1b8wj30hOZD3TrJ6azFg6IcoZ072I0OxWmqWm10SHvAhpkMx6j8esb
/7856W/mpOB/eX3+85j0W1TU/1TP/wMxuy8+/ZgA9fXzf05Mhf8HngDqM2ZsL9ZTioQ/J6ZC/MG7
mlY7FRUF+4uW4ZtgIfiDTSM1Nds4ai5BytNfgoXgD/obDjUFJR+b/38XALVYX394jeMN5O3NixS4
NlXX8su/DyWerDIjvk+bh0wvtvhnytcbPUXHNAg25UharjRPLQKbMOofLPCUqfM7jtji5/1/7J3X
kuTG2W2fCAp4c1u+qst0V/u5QbQbeJPIhH36s9Ck9A/JIyp0rwiFYoLkdJcBEp/Ze+2/vAQe5mxu
ec/mzJn4w0uoaPJq34/0XdWM+jm0X0ZiUmSXrctiE2WAU3UlgJXWUQkMNTzVoBi3BDaW6958tTE4
TjGuMi066ZO2SCp/o2DV12x4xGxYtx32jDXR4B3sQ73+sJFNAjNdsHNjsP8jxZA4/3G0bdij46Oc
qm1SyIXU1qMT7OxKoV6LMvdIc8kodtIVjh2toZNb6Rluc6t8Gv1s0XBN7AYm/4WF5M20biLmzejm
pztbSWiLOcZQX4MbmuIgUpZcy+yIcOqO5rFdD2W0MDXUdm7waljaWkZAXSWvoEjBrbjW0nZZZAFH
1eOYEIF81Q3Fsmmz66DBpRB9s85kse5U/QOBl75N8vaW6fENPt33KWqXKs2Wwu3zrUu+/aJXaqa8
lx/FYOsAQcmhGfX+o7SjVcQ88EhQgYNjuF7WruSXTTwbrUtUpNH/DpffYC3/4XAxfpu0/vvTZftV
UYf+EfPy29/5pwZD/wd9EYXKb3Ile86N+/1E8Z1/oNen62ToZM38ZP7VP08Uzp1/Sp70f5BDzrSG
YRvTPXQB/4V1hbPnz7fv7JqfRRwuVBfQ0HMX9EuseWBWJXAoPwfOFL32GXtbJbNqjSXsBV7KfYPG
sNRb8eIXxgtkBWPTeuMGi9wB6pC/njRh7i28GXsJrI8tETyQoM3yLWcBpBBNoDvugubnGHbuqoo9
vJa+1I9alNc/GA/pV42M4C27nxbEUz8taz9JNiEYqHUbeVesLv5tPyWrzFfFTdlTiCqChxFhCbGW
mokgt7ebg66apeiKyyhNqCHKVos0H/aUaNOdw750VbFqpnzr2wdqrWwZjUO4jxNGHbZm3PWT5Wyl
ip7BzMKy6LnTeObHJ0XxeZNavCZdL5Nb/PPN2mFTfMt4kujr/KlFNNlaMExGQXZq4XVvZEVhO7e6
ftWgZHxPyiCicbCnhRVMFV5y4W4dZO/rxm68bV+OZNvY+bCmo/1UKZEbdgt3lXQNMue89s1kvrnU
VHdIg6zYEGXXs5liGjepMlqz8lgATi6vhZAb9R0dql1C8pLWrSaGXW2BABu8yrgGtZm/qM6pn50u
3RRBfzcZqrhmDHKJ+fSbdgHaKoML3+anpiZ9aG36nb4UEPZe2qlK7jKLYb8lNbW0wBpDy4i65l5Y
WniPn865sbNx8hZa4bBzBr6NUbFOzk2V9y8k8ALdZ2r8NBRWhhYWtBs2UfKl4i4o1rLHeM5Uyb/z
evh2JH5QIeZm5+yU5devXpKCqUm9Ln8qUTncOCSebHUzN852OeneYjJyRheRXjdHuit/Rbov2T1J
YALxiVsh4JvU5aGRIXTsCTXcQWgTKEbhl/hTkzyDeGOAT8bUDbZrRJgEXsZLf3hmR/k3hBHRfmZC
ZB3ZYfc+HcR6KJLqngWzcbbcuSef1T3MbdIfdR1SygaGl0SctpOxKVIsPUq3htsR5RIphRmPvpa4
gzVRM3x/Pdtvi/QpCsukG1fNHOIndCt/GpNRf29aGjLNstp0GZF5uYuaiv8mpqLnA9SWsE7ocSkL
jIeO0C92W/xIz0TovNJLJiGUwvmT04Ia2Dmy480j/hiv+Mp4jUWFNilzifCTPLWzpTXyPeDd4gca
CpIKXKakXI9dMa4GVdAAcv9tE5cZIrgKPBLhwDZhJlznT7VRJucRBMNnIqZua7RW/UWK3HAbtsRF
f7+yNExrH+ylwY9nJ+rdRVOM+Qwhsru0wti/sweuQZB7xc+8iO1D6ZTtg0ztflm57DOXyfzGlVWM
VxDZ6tEbQGbmwM7NvUPKpVzRw49rPZAdGWp2+uP7SksdxW+bogCGEo2gc5MM7KvYNlWXvp5zx2MC
7pbOJPInO+jN577UkmqtCtu7Q+1u76ssRL01YERpGkW0edSimGI4wKnX2uUB2z/fmhn29YagQPWp
vDjBnVK5F6C94w3ZaOY1ZJhx7YVWrGOuSCT3gRP+CMxGLFDuxwmcmoEf1Pn8Ro8Ilk0exdp9NQnM
gm5a3SPZD0hVI/rh+9sq+qK6T6KRHkpmYamWBsGVy4ryDr+67RwN1t/hAh4C0c5uxI9voXAyUxi4
6if+L/Hh/4B9WpqiSpYync6yjBlwj+AF5UMnQFl1TvWjTLCzkAK8DPyTqdqL3ke3MaD2Ra7iXZE2
P1nB3QTE3SwUIP3S9K6DtDZWF29BvD9FjUQ4QxN6dMlVWtQhqlVc2WY9EvFlltVV8RxrF6ZVoTVP
DPdq1+mjNFLj7KKWWGWGH8FtrKHLe/RkSTGeCTlf9UMKnqg6WKUX3hpKGy7GYKYbv4pGgAq+G28Z
I8yxgJ29HoExLLyafULXAR5QfibildYYn2UEAl6YX4KQqRsRJ/VNOrVyTeg9sc+m89EYakc46h1Q
tnyZda11wboQvmqR+SI1/2NsmSpOpSw2ZGArPGDki2qFRV62JLJ9YbLUp9Jyq/sW0fISMsb0WXTO
Eh0Oeeyo4ze1Gu7LtK0PgZdtrVTFBEJNfMGJa2wGQQZX2o/ZkbSiR3eeu3gAXbNhLPY6s7sdMw+I
In5bU2OSSaYH2CSiCXtDVb0KEFmLoayYK2W6d2i48LfpSCKV04WvulGQ+ELgWGuMuCfra5343ldi
egn4XaH/8FwNe2KWPShDpm9YUixSxTp0KJbwlyjpiUGSgTrY+APFoiN/aDVYHYktuO5ApKHdXE4Y
2IPwXhTyk2zDEMqWP54ZYPb12opAJpPkaWKmK6cGkXBnlkcAr+ecM/+OywozmxsatxZ2K5oA0vCQ
VWkpG/qsXtmSbl0aZv0lGYKswWXsUXxmQBrrNxZvmMp8GaxSo3vRQ0weesXTPmADuYUO8MGc85UA
o60+ivCxN+pxgUKsgybcZ3CgHO3U2JgDxlJfutyGizQpoxciJ0lIkQh7iHs+QoNBKxdk/id24+7q
OYnxmI1iriFYDS+l7Y6HXoUU2Z0Z+sMSndVjSg7nwpZ28YVaJv1SuPQPoMbIlookBOAO3C/P9H6T
Sf5uVFhrzP36GQ1kdYcYdgAHIKisLM1Z9HXjn+uu7n+U+pj/6E3DOrv4HdGSFiOSuWRa5dxFnOQq
ab1lXDrorbLCDxZkn0fHbsAAeJCAO0njkxP8oEC0Gz8Shc4tET2hkNQurtH4S8D/g+BLxFcWNpFG
zEzaHj1ibbliSkgIlUAbROxMz2NwaKtzBfnoYOMKXIfCKYDziPCJuZC6Ip4k/G6SgpB2FZTaWUW+
s6dSyLaGXol1MoB6y/FuEgzXDD9L6CcXo4jUY98k/Q6HkHh2xRzoyFm4QmcYL3uvhzBh11hsPYDJ
BVVY0XXaQa84wGoDJnYVErpdNypdpuEYbogD8XlZuUAfmr97ki5JNmF/yYhcPTVh2cBXIOxQmCSK
tX0WLqkZTkOVsuDTtgRbYtrzp9e0aap6RUwZkNVeNMvJyAyUUFhGC5toChLp7O1UTachibHxIDdE
3RWSmpzL7nbKqPEyZtU8uTr/MvYivxepJHzNyrRXS+Fxxtv31Xu4s4Q7qk1Qu9GmzcM5VAQXeNMk
BAI3E7c4y5tF5+tXnqDVpfSGdlEH7biQMN+erHrYIimMVtJCn0ki9HlITBBCvp9ux9LYsoXDMGkw
fO2q6EsM49ZSPPI6URG3mKR0qvowHBJUpJAWZbgHfXNMInG1Q4cAwtBPUb26w02Y+mS7zdENGGFd
a7oGGaerceO1QFa6dTpz8OptVvRpdGe5qVhxC0s42bxhG/IgpN+IR0IkdCTILLjG72nuCGyQ+nc6
OpQq2TKNisxBmJR2q8GvzRRFXjakCLS7tq1WBSZCc4GVPB4/4szvO3tBcFJl7ngaPg+FfQeRrtsU
ZQBgl9zEezCxEyPvSZ6j1Kk2aefYJ+VML2KykvVUu1fQ2BruY6WuZBmbqxyb4UV4tfMuh5kcbZbT
uyENdeoLZL2J0X010Wiue8fsTn7XWSuP7fkBm1zP6cdKK0Djdew9V1wjSpW1GbbWatS8H6jaw4WA
ffLWq2hcJlpjA4jCFFVoCSu3VNcxUMGnBVY5EJrsxzwq2SMPCp+m7gOCmiVwgAFuEBeSZ5qnn57Z
dwtbFDjPjWyZVzZ5UiZ8K5UEhzGaSCxJjbnoj8ZGvet2rz69zEmPPdo26nhp7yw3cfYgpO71rg10
5vrdpK2yTmX7aQrhakyTPR7tpMG8mxfTcw6z8STj4oMGNCrWqKLbmpkDsCvWLtUqKeMPURQ89TVR
fHqdO59ZoVKbFrXEpjH05pXyxV2Dyh+uRDlPS2qgq0Wy8AUOUQSs18ytg24HGItH0kQRjfdPLubC
G2z+5XHKO78Gb6LyS1YKjxBzFtLvpZDwn8M0GTaFwb6S5+AMD6M1JAuvJwn2k+ETBwfxucYV7Lb/
DFyMnaFVMEDBCEMAWWjZGke+F5TLVu/Lh5Kif008ho8lV1UbycFI7Me0T2Z9ZN3TZAEAyM4JY6BX
pO9waNiSZAuHpBJ4XCn2YZNffhERRUlaIQUmwDVQD8i0GjSgqhLlZFULqmc1jcsh6Un8WOHSBlYp
ZPczlkWx8yyCcBvBGH7Qyq9sQGYux5D0Qkses6Yt6LMa/+qiJ72NYlVfsdTCgO8F1W1qa/haKx9X
rkVySuCHB17YI41fuPKCuNrAbIDj7GrR/yiGvyN6/8PUh4Bxncnrv5/6nKDKzf+r6+SP7pvvv/fP
yQ8+Guxl7HQsBxcNorN/TX4CfDQ2E1x8Of9m5APcEIUaGYqEcXnOf+Vy+8vAlrlzgMjBY8KEPNOb
Z8q/THxagIOxwhXKIowwJLTYPCjS2RZh50A1VmQGNx9D24mP2mjCwy8fy+1vC+Zfgy1c/0+rbhbq
pJHAXpmn1QESoD/99oSHoJPVMtsXKY9TyAfTRjMluyVCvuDjqljfKQHDdYHpBPWFAe1oBjXMJaRd
jY8TuUhigZQeil6VufjkAmNkO5fNUvcmAanmjRp3f501E8+QFH/6TZh4I1FVsjbXFrfzKfCYVvMq
WcqNsT1kWGTL7stLfda9IgEc24DkwrKCzuGKvwFuAMhdMGI9WzWP11tb1AAeEpFD5Qx8bm4JCoyX
6SAl6sv6zQpANDKJA5fWslcbUd0aCze2tbIGMlRHbXNvhFOrHfwh5pEyanxLn11kRe6mDzzNfNK7
MErWRRsN0MiyWHNeYz0YqfuCPlDxTaUsNtgQUUTd3wrTa+OFF/l9RIaDRpJslY1GdO0j3UUokRXC
XiRRocPPlRgFyXXC4rU37Pm/jIw48F4GcrbKLQgDnlFaRuKTO8YNEyEDk/LK6H2c6EvyhAwmC4vC
hXaH6aeM3ouZsNDNrIXqG7sgvxEMBjEwLxMx1NqaYeCwpofxtq07UV73mHt1SA5OKrqz56e6XGYz
6SGfmQ8TLu9VP3MgGkCLPlyIAo7ZCRUS+1DQjt/wiA7J2E1T9Bthi/pWzIwJwLDgJhT09SVpHuFd
547DYzZzKQi0zQCUlcTROG21VEnmfM18+StSlGEhgkGsykALNjH5wcRWwL5IgdgyVYt50HlQ+JOg
pAcCloFmI7/GMz+DCptC1wN/Q/axIPsNzoYEuDEE4wOmTRAcWhDId6cywmuRxR59E6yObKZ26D0j
TIRnLA9whyzxFeWP1cz5EJoRbwmCCD7cbwxIMxNBmEKJt+gbE4LDTT8H4H7jhUoNjbN+RoqMM12E
QPlxyyx0erLM/CHVavOVDhwciQmYJDFd48n1uakwC9mbMJ8jJLOZnDYzTRrgJmEo/bdp5p0EBF2N
C84E9dZMpN5N7GWNmZCSgUrpvpkpMz3F6niqLiDKg2KZ6Sq4WNxTWHnG62C2/pn2HQyL2at9kGb5
HvBygOkMWoucuS0WXcAuswrrpp+pLtg/ZgAgpJd6Zr60XZ2+kK+bvvKNUhPNbBj2F/muLcv6nM3k
mJoBYzj3Kx52eGu6FY7qjsVMm8HmYXQLKioPPBJU8gVpExwr1pCc/LGx7gIYN9QK3BK7fGhCbTGP
mecAO+vS+mxNupl7gxYBBA70YB20Y5ecVJyJhzajviTpuT4wnizX2gBJh7zk9KnpXHWjHGiT66EF
vKR/43eMmcSD8Dfc19PQb9WkR4hbAP03M7vH6aD4sC0cnwcIIqso0Pa0vMVeAf3Bv1OuwpbchT7A
l2SABjJBBI2OPs40vgUZR+0n5RK79pkopDN6XJROTRtvMAFjbgcmOtaH1QSL5J0JDFwi0Seb3B5B
s5Z2f5dWjjhTTY/s6Vqya2a6UTtzjrDhdXd8IOGFMJL2eZp5SN1MRuI+UatqpiX139ykb4RSMdOU
6pmrxNfO3aL1YsNso/60NFdtJ78AxTSEurUe3MGmGIbU5BkztImpIvNcs4MmQWf/E8rIzBuYSU/j
zHwKsNjVQ9ad4rC4rTt6JnMmRJk+9//kBGIzfAOk9JklRXugnwKVBWfy0cy7ceiAthpyxAZJcvE2
AEmVf8OpjJlT1TJ6XU12gFgh7NWwT9CyHOoKaDyKduq51ipPLchqOPocNTMLS4ODezCFbdy7QH9M
CL1auJR0bh8YyEBp9d9YrXYmbMmZtZW5Hr0V4CWeJSh2RWUSywKbK5dQuoSdJA9Gk8pr5CnvjIAJ
m0uLtmpBIyQeJdyF8+B406mbCWA1VBeeaFDB8qSiNeTu8Y7lTA0bvwFiKG2cXVk6/UGLig6KjtGd
O9VYBzM3Z9OKEE+948hbGAshFFj0ElYyxEBCcKW5QVu9+6r0fo4oZkC1KAJicGR99vRerDSmgFiZ
etOTWXQzDpKe0KDz1aq5YQs0qcGYBeSxIOS8e6sL38ixB2LOJCdFQ+gQ2+IphMi/hkRe7X2nmKHg
LjzS0kbEAy9RPPsRSbRr0AzFuxVF/rYUQ3hqjdC/6fxSg30yNfs48HcskMx8MZo838BMqvysbD24
pH4hT5kxQmvyZXUQlaZOoWJan9qZc+5zD59kV7bPPnw2Zo9BB4nR1gamAVbf3tWR9I8TUdhfutXm
MC7ahMd1wGd8k/dKe4hjx30VpIVsB1L37EUltbScD+0aDAkZkgz0/eriZURFJXpYciwxus/8fDRm
uq2/9VQFDYdGmLRyM9Aws9KrLOEg+28ZGuuNnlhvuCiqkxaVzr0fzc2QPljHXgU2x+Bo3qIA0wmM
KaHrOBL3iGWw6iGZZiyTVZAK89QSNA/aCfBiE5eEuEWm9ej5qlsT0JhvhKjmIRj2/XnpjP+eh2Oe
ERumVVZNZ6/LO48R94eKGyaZhqonQCpdcG+QgLChxzI3OqKcB9ITYhvKW23fEuJDGKTZDcFdHpVs
rGIesr1uHX0yCfjaGYychG6clO0OB5DB/hrRlPiK28RUC23sg12ohLfDmAzZOJcwacJR3tZTXt9m
Y022WWyau8FySrDSibbse5Cw29BovGdqAfNhILiUDZtjeT99IF+vReU7GwC7L47IvbWWBneW2Uik
AZWu6gV1ityZHHkMIlQaHxilaXu3NCUuYdttQh7aYvpI6oapqCRR6WACbHMqHm8joVxcmrZkcZM5
t5BHso2R8LBu3cxON2CWvXRlkf6UAqi12zNwB7GSonkq9aa4YCy14aVOur3leQfcxW6zFXbYkWhn
w9uZVe5fPMNDHAYJ4ZUCzZWYtnwKkDHctXUaLqM4C5j8Go2RgQ8kCoYrG3cbiRrxsrGH1MHbU1G+
dhLbnZb1V7dpIClNVr939RFTXkYXuchR23JxBN4nhW+8tu3M3DIYnk74syimBypVJnSm3t93eh49
6uBfH22IoxtwRZMNm1qIS52p4GaCfVSsIyfc615NHxrhpmeSU/EEW/hduE/arplIZLDSQ6qCgGUa
uQUtJWYAnFaYkfyyitSTiDgyJOF+vWCmfAw7ULKDIkyIPZ64w/NtnWy7Gc+BaIxVkCXRUkGFOsRl
P60jCv+XyfVvUtt9iFxyMFuTNUviGLxL+1BknvEjQUm7aEYQMyJ0kUh6BRYNBs175jDMBvrYWgk2
HOvamt6aeHxPPO3OrxnTBTGL6Bx390KKRF9Wquy3uqWBtnGYR9Ai3CS5UQBUguONVH/Tjr69DGTw
vZ8OwdIml85OrJN07Fdj3r0MHX19lAGbzTK/AdiV88GQTUai0oh0xLLqBbK3EsqyIGaUGIs4KseD
n3SXeLRByDX4LmHiEP+mu8wqDTRDQI8HLOEZY6WpGtWisgucO4yEmLVar6NmgghLJhDacIMJfvUu
gxvP4alAoUsuvzdNemvTc8IHDPXurtbC8eCYUj/NmK5VF/WM7/2Gx5yMkz28IfyDUrF6Z1W+HJmn
gaonw67EDL4JsnS8ODpvLvXzdTIR2+AKRq9LBN5y8fet4V/bUtd0LIu8aAAQPv3hH9vSOLRHEI5+
sieOhbZOGzxoQpPPKc1w0L239ZKOlFqq5JFNgu7f//JZ5fCrHJrtoOnCbJwNRpBNZtDGrz3xlJSN
O051QnhW1XxMaVMe6ySPL34WZNe//1V/UuLTANPPoCZDAgLH7a+ycpGkLqQBflVtCtathj9ibB6j
6uvvf89ftWH8IhTl5FiakD3cP2dyZtU42k1GMm9bh+MGJ4y9d1uY0XmZqFvRZAguuyDWE7704q32
GIVzqkTxRQvjubkOY17d90v6nyTxP8yPDAwXXFH/fn60e+vfkj+Mjn7/K7+PjgyHBCgdpaH3l9GR
4er/MGdcMh4uG+fSHPH6u2jIJKQdtr2JuIcMdRdw7r9ERAYKRT1gVYcFwDP4N/9VBAbzp19vH5LK
Zl/eb/cQekfbn2+vX0ZKMAfzKSV3/B7yZc3OYiok7aTB61xCNAiOtR01d+RiNB9g6EyKrUy7spwa
eWbiu17mie8scznQ1xI+2K80FyRroIEhHLr6Veo6P4dxJlel1lXJbdpAgQY56lj7Kh6yTWvD1K+J
lTiaGqwHZvz9KkmzcVuZY3YlYH1C68x5FRta+1VOGg782O7tC90c0I8yZ64RS9W/BVE9vnkMdxJ2
cnxsyzjqGO80PFE3KCjEwWG09E4kUPqmon681Ri0rEwWiK9jM0GBAmXnIaqY1FfXRAY1aE7HberG
XRS7d2ywk2RR5dJ8nFVD/+kA+7bN/d8J9v0VcIuT5or2A+q5P9tyfvkKism2Uw1z9f3UWMHesUjS
rs0Bq09QDXCzcWkqJI1mEdxSoJv0FCZvrXZxVy1pp1AfxOm4xtpc7QPUyKcpdOKzSff+iUVDey6F
I6/xiLDFSdL0hCCDJyhjxPwJSYa/ZWRYb1ppVRffbx4VoUc7p+6PQO7MBzM2t6D1P1NBZ/rLTfL/
mSbOWci/HNu8aVuHDz4r5TBA23/xaNa+60ehXpegaovw1Zi//Yge8AV73XCr4Ynet6nVMGrsSRyI
2T4uCk1NG8k2gqSVQX+vIQkxVsPqcYlKOzv0leXchyN/EpZpfpl1Bf4EMN8lbl2SGahRbh0/fELM
Y26DBKlNhl1g6YLf2CXobbexRipw1lnuiqGkgo9VcE1bSu9u9Mn6LN322DemsVNt6OxGv5GK3C1r
lQxjth4csiR0VCobJ3nN6yA92HbVfyQxBX+urP6jZt6/90Yc642axx0xC826I/4vgTPCTZmdAQJy
M8ksYc7yqRdJ2ixcGD34GMhsufFZ6eAr9Id2lSDppyxJkVRNhICYPHdJKyiH61DyLcGCSNJTEVvi
OPq5+TyC8PkCW1BAU+rRepCSFojdMHkEucZE+uI5SW5ypfRTODN2/NLoTg6bLoXkY0aNiHhKd2ND
iMcSUKB51RI1XKQy+EDNWTQ1EencO/O9qWUTaSW9fLZj+uogyqIjZWKwnMcd57+/dv50ZmG3A9fk
znY4AxidyUT8jzeMGUGdjTpPu8bgQu9U0JbM8yQqLIDzq8YjTMcO5munqaaP3vSnpUQLPC7tfow/
07qaORBmeCCtWDx7wgYZG+c61oiaePg52KN1i0cQ2eQudI2Tswyyym3Od3+syJZFEw3jAqYM/uWi
Mq+Dzn554Y281bEFf2TP0RccVyP9BBtTDtQqQ+NRK2PtKM1cJygy+ZlDN5zJEpnuvi/bOiWbg1nV
iImGPAujrsKftB/6i68V8jlIDflcapMgyyVhrAzpAmcCm/rkvdSzragaDZfMAF1jYbWtu7XhxXnr
zI/9i68LpFZ///F/Wyn/77yaP362HT6udLxls5J1vrV/Oa96QXBDNDXh1Wxq0osVBn3sRUK7T6eA
d2CkJioNIbWHdEwYGjlDHdSnoSljJvF6wuPF4h5EVJSL8OBnXf2WdW4zLgKaoQidQBO+Invizcya
wb2AGbP5798AUnBelkvVSArVn66fcspkY+DIueYuyU5DagxnUUfRRrghSZyy5JwJBSsDx3Q5YkDd
amtYlTX8VN25YXAc/uTeI8HHHDF1DZ4BLnuA3W3WbbgRuR8+5J7AcxaXEYqGv3/t38/jP334VIbQ
6tHdsVP682tHgZg0k90716p1KLB7KcOfXM2hv2uovZ+MKZlO6SCZoxHRuFXFzO4yYePs/TrpDlVB
ekqPpm2fO31D9JzQSI4ugm3Q24qJmmjLy+TL5Mj6erjtC/griIp7+bPjMcFXlNjvMuzbvT5NfsdK
fBpuW7vPSnYqHh0UZjDYJwjmVNuGz2ZspDv8yf5BQtlfh7iYN7m0Ikw+8fAKW2TaNv3cl7K0WE+l
V/qwTszhy4gk5xWxk1q3pK0z1pNVQyausncD/aWMrVIwSq3rfY5J67XEgbqnJgCXNN96IUbBTwbF
MemHGf8QuFkIIKIxr6zfkVoWEOaWyI7iT72W0yYlbeuVK6/7Asg9nyDzR5PSv7SA0k42zgaWa4QW
osNq9HmwlT2ANZ0Y75FC9eIV6YdVFXBio3jYZ70pl80sLNNsZAbxgBzGQdB3Tg32/f/hQqBI/MMT
lNuQTSA1w8xv+C4H/1Q2cFaTA5R1gv2GoUDPYpYnlmk+m/N+QFITinjpgS9PFlBvow2lWP3mmmpC
RsyZtI4KuY81wp5Zj+QHkSDxWoyFnmTLTksTpgdRuVEC5dOCO0l/Z7ieP3L8q3cTschXSxuvrUhq
K7yVjP0KXDXl2KkrFZm5nj5yHdilBTLMysN8kxsgfRfBVLQ7n837in7N2w928YheEyCUF0u4OpqZ
bAPhancoaUboHa3efrJw5IjMynjVVIRxDcYktzZ37c7LiR5dYLzjm+kT9QycbQfLgskehLhpHVjj
s1HX5cqqWLfxemJinMGybYPI5mJNTWkv6WS9D8uzi1XTddmhMlJ9By5t1JCsTGI7ITuqTuRe28ES
rlv8xHMgeWK2CDN/qnuLkK+kSJ8lElVUsplwI0KD8fMRZsRpsJBxHX9qbIavWtfPBU4zVAfdH3hU
ycJdNQgLCLGOybFCv0vsj2RfES/ySvJByb7hz6FquQ3G2JzCpe9K256HH+VDFCm5D3Wbp85kpNZ7
bGGEW5ISV2c3GsAuyp9gvItUUmnrCS3PewHNhiGNKPzVrJbWlxr+umPk9NkBVFyGfJRw0BvNHpl6
OniFXoxqSnyup3a6S0vsRwvDS4drQ225IwQ0AMonp+mn6Wb+3m8nbY1RKyNBB2EgjONm6tfEIMFq
l25CEneDMoKUea7CRFBlQuhqVop4IoQQdaivEmvKfxLidUV6gXPeoWwNF30GVD3vs+LseThVzcLr
lzwMUMHIYJzuvk/U/3W2/6GzNbH701X++872/PXevMns7Q+yiN/+0u+9beD8w8J6QvVOA6k73+TR
fzGBbZjAgIdcohoDC7roP1tbe+YIAzLwXXSXgD1+ZZLq/40hxsQ/82tP4eh00bpj2NZs7AP7MsOG
fy1McquF1B3G3dEqpqCLT1PWYOOjg7JFOhJ67yX2yNIOPEzMrFvDeZsRg/vg+A1c/0mF93nhhyiC
ePlzGeNemFK7xwGXqg3ImgLdlKi1KY0bbYPhu30h8KkAaOmJdNWZQbsJlJ+cTWAczCQbYsjRbM3t
bQwRe3QsFJaFs8TzKzZ65xe3WaaXt6rv22tQuijpIGJmTw1OncOMuWoXtIDlC7tAGJF6rGHtxgR7
zWO/uDamYj+cTXvpGwORJV506wpnuupG3lxn6NuGCbx7mUI1rLXeUoesRtEFiI/D3TUGGiqbpjoh
uuKhTdLhjdtM7BJZoR+1J0zAQtTyFvpM/CyKrB3R6qb1CnUwKSWxZ9x7joivzuCm606fhYOaXg7H
ho7x6Av5yKgSYy0FjNfgoocKoBPTjnCrzZa6Mbxnw9CQVdNlEi5ElxxFUqaYSGpH/uCR28cLwXf4
mGdpcUY/GBO0Hk+HpmBUtohHC9wkAvzZc/wdTqglt2YgqTLy6NJnabrhpMpWU+wQzwwdaKf3VX8c
8PodyS5LzrFRYBVU4A/vR6yNmwxP/FKxb7n4zSB3I1O9kyf0/mjLctwxmbPekJJU+HgMde/6Zs7p
ziAfEXqt8B7GJqmVtd2e8CvrG2F42gpUWXmnYSG5V6OtXsEE5T9HJrgPJqnSKzcbSvLqHe1sJR74
OF298FnRmqDnCW6hMBUvVoMej+F7uZp12IgwMkAZOhWoZjXDp6Deu7ABghkwqGEZWN0cG8CFM6s3
g+DDstIWR1VjYJ7UJpIpl0NOloPtlvFdKWdbgBsIBXmpmBb/j70zWY4bSbvsq7T1HjI4Jgfa7N8g
EHMEZ4oSNzCKkgA45nl4+j5gpfpXVld1de5zo1woySBDCPdvuPfcXC+HnQunBSG+9TYYg3v+YHZB
naxurIaot74gwoQkMaiXLWkMk9A8ojs0T10qZhaHLKrcgz442Q9VROqOBpiskjRabhEyVpWv7FB7
d0vTzUlta4Xn16OTkYIKRuFcQNPm/IrB46dMjKFXKmSrmf0lEbn+0kxqujheqm9jq+2viawIoSyr
erhvaDy+1lmFW4yYwulc2Un0RNNm37qIZRq3ivbDIIu7BC7hAxtrghhts2MXNSzYDIQopG+XNe70
GDRo4LSd5KbGSjJit3DCo6kUmTyeaI42ORyZ79aCxUM41ah5ucnyzxwj1d1coH8ouFq3Q58TckDs
6lXGgnUEUohqI+sEgV8817d5lEe3TWwZqBAd85VpFbsVPtvTSxvGktWO28+PjpOatD1FxnWtRHyw
nTA/9cuAWiUn9jCkHKvtYVegJYGWCXxqo9kFV6PG8uuzFAWbVumUYbWx6jrkJElYDy55+T0TNHI+
vex0NReJCB0VTZICPh20z9HQwu9XAMiQeGvRBBhIEM4Nn6I2dhM5DogY3Wq6NzJdvODEKpDrVnR7
9S5zSuwiV8yN7sTwzYxy5tK7ZqiinPTqcWaqw0K9b/XHsJ1J132OZF51Dx2VDiG7KwusOC2V0WoL
unaVT9gGBiMdHxs1Re67FaVhXGxiRnaj/ZzjrK/l1q0o7HZa33fq+yyrSqTIikTTcHFxuf1dB/yH
OkBY7nqR/vs64Fh8T96KP5UBf3zNL3Wk9UnSgVAqM5NmBcRd/8sW635C/eyxtQb8BqTvN40k/HFJ
WICOY5YrG1AUl/Uvm6z8JPmL9cuQi5EL8pc0k/DC/lwWwKBia8N382z4XC51z5/Lgt5gW7ZA8jiG
5sKjXmfZm62YIPl9omNyB1RlDMS3z8yJeor1TRox63HiJr8uTmhNG46NlKjYZPgue5Fzq07Fq6er
mSgiL41Q//ZaHkwkbSBsX4rX3GbYh2fXuMUo4eBoRaPEDYFVgSBPjoRt62UO5jz3UQKQfmgQbN7q
w1teNgy32zj93OGz+Qoke0WUDBldcqpX01tLxPvkJ9BOF7wHEX7TySvMiRElSkxyBer0W6xxlPhm
k6/sK6MJUYHPaNg4vrAFZV5/Xf2zLEbx31iB3QCq3GalK80Nc2d0jspV5r726BbX2Kv4YuLhdLcm
eWHYRAu0fhvuvvK9YlHwtWTydtO3s77pzaw9R147vrv5UHxljMA6dnCj+ZyMaX0/VwrQM3oBTPlG
6TNX23FqEtDbMyWaEne8WeypvLPNucQX6041LU8+yn02JemNa+bTvZWhCKtmgkhauKtyJG0BfNQG
wQgzUgsVnZHIO9x0rOKVmb9PbSaIwsvdO8hNFdk/qntEGtYCl2jbLTNA8xAuwHd8RpbFye4Asyjy
hM9saZPwuLSiPg2QZRCrRza9DiFD8uLqucHyUpuzz2Ze9Y+9lTak9YgRxFo6iC+JTMMvnVZNx2q0
622BOvEyLpR0jGPhfuOW2oBGWi5QZvqXbJVQbGwvby5j2NTn2HUHMn28RZEOu0ZKtUD8WFUX2ZbI
3kIFxejVBZeXHK6ZNjUrmoBVcf3hHmgnDFREtWJ2M9TYvhKYxmZ9RBNQgZE3o7vC9QpxYMKUPMRV
ar4YgPlR1dm8GuN55Kx4OHZ9HVtnYahBx4FbxgfN7FC5zNhqjG6oD+MshoeIHTTKETV91YqoOZl6
7v0Ym1E2O0cHGAtsF/7RFkmj90DtuYwMXaOSwK3IdO5iKwGpNLjYw30PAu67VZWmtwZ7M4fQlzzw
2Eps6pz2ln/H9HkUbXwnJ9VeWzHHJ8lMxdsKYtFIpCkslkxk/7DXVuWTa9b6bQTEBbVMzd+LMrKu
NVKOchuXeXWjClkmLYJbPuVfpkKoNSYsAofB2zMZro69j4Qn/lMWIurAunjDrJyHFtyMnl2Kf7Be
uK46FI8jC/ZwWPTwYR4Hcz7FdqwOFDV3wlVpQKzUskEzCiOeuffjxBRp2LaEwn8NQ2/2RRYOWSB7
y0M7WxnlpqAOfOx7G5vGnIhu04GhxheW6DcWOYeXzsYmSd9i+23ZYnAk7ggUCGwOBGE8inxeHsJ2
wt+b4Jt8nsLRzC9O3+nqTiY4HL3AqpZef7SWlpFhRolQ2DeGqLXD2DefrYyoRAoIdM4TctKj2Qyn
AYnXtayqZp93qwBpypY9KpL5vi5dg2VMVvvIeKKjO7fZ/diYzUM2qmljpQrbv+llW7LAgTg5np+H
beJTgd4Qh+73ebfOzJPLoE5MavhOplbvexnWWy9B9BrGNnkP2kkpw++JKvTZj5GV7az5J3VrfY4t
0zqGbVNuBG/LjqSZ9jbRra9eX0UBUhqYtuOgXdUiwkO0ntZzr78UlMgUnbi0UjJd2uHcLbyHYaef
FQqneSOoLXd6Gz9PJnbPTJWfXTnLY+5W75jmsi3urAedkT52nexzZDa3zqjUXVcXX3BcTb4xn8nV
1XdU0I9Dgq42n2SHvmrOfX1Mh8AosoFQvonymLow3cxOgWZwaGvM77FzhajfnhqzPZPmFu1mzx32
hjlYgWiRFfqWIXXMIGl8Qi5rJfx61fI1ntr26k2jtXOQnaMbt8iO6LuLHjWGr2t98aCT77enMtTW
8T9P01wuN3MTqpDnh5UTYKrqvp5n7wGKeRoHUASz+1SbxlvHa77LEs4mUh5xXnKv3sIhd/MNRbdY
j1kM0b7L4/fEUi4KcEeUQT3ZxnZJWjjaTjTfIP9Djz+I5nlJ4Z5ottViYEzubeKT+UikqKGGob3J
mxR8Sk7w4ZCF4b1thKBfehYaNhJmXDbD2Qv1MUgNM37LpvAtbvX6HijZeGdM3nROmtZ8cJB2P/Yj
mpvORMBNPCJWJB4dpekvdhvXvq3xR6ymcMNwEqtrKt/HaWgfXGZxG9Tt8441r7eDEpP9dKhsb5hX
tf3Cdq8jMcdv+ta64YzRLqpLJD13nNcPKJ+yoIYKdzZlaaK4Mqq9N7Xxu5VlfLa8sm03Mu0feAgz
0r/07I7eBzE+2UHbxFnaQAj9TuIzDTpDsZdaTPMuc00v0Pq5urVH8WoPjbOtyVN9zD0MdHYnjZeu
tFBfAqwTPBlxioF70J2NsGRBwCNMfx85zF5UTXLWBvjOdjvOGKKT6eh0XJFTujhHjdBp8Q+9zd91
8n+ok0FvrmTXf18n37AWjv9H8JaW3Z+K5T++8NfMjGhjJCXMqZyVBWMIZnC/z8ws4rp12MEf9fJ/
D81I2GKWRsYVUicdUQg17B/VsmV/glXFHosvc/GpoSL5C1QZS/L6vy/moWKtKi7TkFingI5+qBV+
2+6xua9aZ5LGZWHiFy37pKUqwQxt6Jjo26vWwfGryLLvuM/xg/iIwpavmpEh/DAScWgBqV1Cfvbt
zMGxi2ZiRyXs0GsZFYe4MfuTW48ywLDknMu+0B6hFFabsoi0c5e4wsdh4TxiJpyelet10DdKpfGU
15SOraqJm2EhwfcD+kEyCdUEDsE921M+7nyNH9vRIU3iq2PmzclYb/m4DgHF1LdTWwaS95FtTiUO
dQv0DQkCsQaZcxJWiIA/9QLy9r73tkC2qKp2kw+NojQu5ivOBcJqsOBMg05qlkOwTAYmKlRK7GZ2
YXuGCuTwRMZeg4Xx4s2DwiuSJoTeU2JPzW2TYpiHYIlJw+jMXSZzl/O1giaSO7x+LsghnGvOB8q1
w9z2yYOMMLPkQiwHYhi9zVjOzMWraoDVom6b2QP00qbLloZa+D3rct/SK1gAum1ytq/mThpzzFdZ
y7kur7HwwjUO4cHT83HbhXLvsYsh9iSlMTDwpHjodCwSkAIj1PdaosTGjufP2DTmzdCtvwQK06Dr
zTDI5j6i/tCcLQEe33Is/eY05acKL86Zw4h8ZGPalotERZtVO4AdRYAIEECYLaVf287BCz0IRPjX
3RUxliyh9nk2k5JyFOFLW1aAukga3hlW5CEagk9klLF6kqpi3CncIaAF4FychI0tSpsDiiALOxDK
cdslgLOHwVObjrX1BICXqbLOteYe8cACPLSJxe3J0fTNLNrHZk9+RV3VQcboJVX1U9k6n91puSh4
Mn40ONZOoxzbCn2J97LK3xYgxoooh70qw2YzkowJxITSpTa8HxZK+gBekh3wTDwhiPKdkUfCbaJ7
D0z9ro9SSB4RQQYp8YYDltWN1ZIdKjr7WBtKvM7WIjZp056R/HyjYZi2U+xWxD4TWUeiZr5ZlsJl
6MWzwMAUF25UwZJcrJ5h7jxtyIOowXE0X7S2y4NUTmHgMPDbtOBJ98LlX5CCm+pB5Q3VmnpuDCe6
FjphH6b7je5NP02RpCthof8E2zLHaI7tLWDNljzkQ+rCWXB0X6XY56rEa56Y+LoBzkdEWtK1AjZC
V5A32Y5KGA5RGDu7Je3zwIaYtS0mFkMdAq+7hAS9rc4obos7LCZtnUIz7kzyTaRyjoKWdZNE7nAw
jAhrzWCcW03vA42ovmfU5LyLLpIbA8bkxom8MbDx0fm6veJRbKU/E2yJn0wTDp/cetl1MYGcXr8I
v1nS4jHVzBmJeK+fBBttmybKwRM8amm8hYJHeFKXOwR20uqbMzpyftT+IrXC5H/ULgXI0T2mxRvN
Sr8lgxMzgXaz41AzxevdQQvkwvtZLa1NxZcxyjf1nxOknIAFp31a1wC+crpHHY0s9gPn5BIA5FuN
/eCEqt6Oukm7gq3NX8DWB5Y1ob+pvfe+yx4SZDmh6O8yDBoEpSRiPyfaj9xa5l3WEP/RyQsios5v
ZbEfnRlwh1UUOxlpzSbHZBaA70I+B7jYF1byVpeEl0bu8tiWBsk66w6SqHKNxrsHUKO7WOITSB0N
/g6UO05znQ2563PjzatRQ7uImHED0beERhxtculte9al7KjVfrLqH0Objb5c5vDGbhgl6JkQp9DN
SDOCDkXWL3jeuYMUMnq5e4hN/bbMjFfHIbM8stSxtafP7kiojEycbkNSkXMkKrd4It/5hYS2Magq
+cOJx3EzhGBKxih7MkR/llbX3FSucUrKJqeULLNrhs8Rif9dRrcYhGbsbuiHfzaIj8FMIfy2l77c
WxYD+ZA577Yeu+wyQ9TfWxPh0LYZeodMFbhP4lfce97TbGG9ygqqY0cxvjDmete52QpA4BWLZXmi
4UzuWmCFSnAJQQec/HT0+DyLKNs1CDV8PbcfYTHEgdPVyXmu22PU0KKDKNBIoO0JEEPLFFBsOl+z
dPoyhn1/oCX5XvbMpuIoi3e90Y37qZi0XVQg95b54JHqM9zpkWRngoiMH3y8VnUbbjrbQGIePpRq
IZvVSeDVJKPPgZYdRay99F4FXEqbvpsJqBAz6/ujC1KfsyZpWA2EzoHzNznFWMn2kcYpN7qavekb
Bvloysx9spj2LpKjuTMy0D+TVYl9JNXLOEAsWDT3ae7ac5syyQEO+dPUKnnKiizcaWQP+1YFP8cu
AdAJK9dPbgU7p2Q8gDm+DHeN0+AldWdWFwRvo8R5JoUlxNsJuJhZyIG84wTTBlmDbjl+7sIhl3wU
a4jRULd5+nL3Fki6h6tCMltYP2Slyu3WPNRGidthI1fl17PZj4XJXnCem5Z5td2WnN6pX7PWT1hF
GaH9YFq5dJjCDRitgZGZQyu9DcAAthd+oTIQwwyQKrSjzd8Zmf9/eEYGouL/VV6f34r2rf19GU3v
sn7Jr8La+mRTvErWwKx+MR3+XlgbLKMtg2X0Gl7xIZpCwNzF//U/15zYX2NnB/QrcnuXKbbDbg/B
zV8opJlh/6mQxiqKOJFC3RRQ0qGmO/8EeK1DzggVTc45N8gR3AAHoLB0xAhkZtO3WtXVvkTbwVAp
JRY+vCmLWdhUVrrG4GHpwAA8ZmWta/mpbR2Wf6TGTYDeD27Yc8X15kDArayzBY9tTFchd3kz5NZ4
05GAgxKIkxu7iNVi7ox2XZvlzmWw6vY9jcZ7sCUy3AiD6D8rduQug4gLGrKOArRN86PmLihEFgKn
YXp4otAJRPMMRcakaEBAcp9n9ka1Oj2obKArHLLa7es7RMzpY1OH3lfCFE2a/rbuBYKoQVVnDDLQ
q8vZ+6JRnJW8BMj47YS+LNlXbAOQ2s5FvoWQ5N6mdYGhjzIv0LxyfE0GS90ttMQ7/IxInpu4WYfq
BpdeacYa+9xSg2qz5NlREbj96rR2/cVoTabNoky899Jz37NpvnH1RpEellJR8kd4HXrHvE3sRD94
yHS2nTK9zcRYk//H9Or7XhUxspN51oNuBIzFySU9UO592WBtDJ3ZH4U9HNBl5ne96NvPyHhYHrK/
3y84ce+91phP7ErXgXZiTBpwaS05UBwk33ke7HuVcvhvwSNot3FeuPvJdhC3lZNgKtwVTzGHF6bc
HrfgYsnNMNEPbCy3M64WhdGLRmUPW6c2zNvSilZIbwaLS0p5HBKxIOm15yFIespDYUC6RQ5HYCf3
0s4c0dRjCgY6jEJsedXmvMJ9mml7EuiXo4Xc6J1ptzzGrageF3bxN71Wl5dSi/p8T5k730794hBX
upsGq1vlFb/+y9jQQnWhcftU/SbR8w9q0uBZRXOin4rG4sRocMxoxLqwVt6OIQZzGeGOOr4v9GfU
hqDe9fePY+LvgcV/GFhwgq1pFP9+YHHmYO7f0/nPZ+rHF/3a7IlP4EjFr8jh3xZ73idbcpJ6iFBX
Dc/vkd/eJ7HCpJlXwJY2CAf//YRlfMC5yMYP88v6VX/phP3zAUvSi46C10VeRPQLeth/OmBNx4wb
dwmj0yBC8HzIxeX9KKKFZ7zo9kRfe6dB/6a0kbUMBdLoc3978LmG7tBQPu3NWtR7RtPAnX57G/+F
ucE2/jxEwc3A8IRcGK4ShkaCwQw/+m9DFCzYM72N6xwl/Nby1mPefOsu8JIYVIZ26oseNiQkD2ub
YHDtIpYhJFkwckDFHX53i0Lct4xn6mZbzTKXLwuV1M0cU6lyYLfiax7HndNss6FadgswJ5cUVmTX
q7bEbbXAItHCPUBMWwJLT4suDkQ2WukUlJZMm+d4HqID3hLMFQSgZ/WDG7bZHKAJYpbNVoywuKYX
6/ZQbafGe+J0j6EBeqNr3i3C6Z+9sspQ9dUgKTjBM3qgUdXfcuSjIMlM4E4DKRlqgwECNoWbMkje
DbQM2akDRElvNWD/ZH9mWvfYl2EjReOOQPTPwFs1gAhLc6ojJfZ9b7bvCd7mWy+3p8BR7VlEJQAA
pwXZkUx3woOUJtu+OyPMH06TRiOWyIUTN2MFdVNb5nwpIiREWIqYBPWifNAs76tuqtbXkDuVZJBk
8RfU05X0mT6MWLxL7X5hFDQhSp3b7ZgM0yWSy6PeRxljl54E4sVDRUJSp4h2bqpZ35o2Vz7hjtAT
yNJcuJn1xHnQ3bR6GAjMohBH62UPi8T0YWIVviLLac1nFeEFRlKT3C5LvbXm0NjVXjY+zeyc0JyT
djE5lb3PsrzYVRKkxUY0DqEmpu6sYmmB/zqsthJfsm8ueo3qAvO+tXREj9aRc8+7Xp+xkjc7hZri
FGGlOMH8cE+xwEUchIWefcGU0D6VslQ/61EA7Up7rXqs22S5MQtjupiDLr/TXTg7Czs4oyZ+ezZx
a282EK+alJ2DlWWwdgti+RrORRW/pTz2COObaYO0pvEXTv0HXQ7jDRq64WyPbb/NrMRjsxVn205b
Cp/QNJNfqDNxczCc6HV65ahJ6J0zSIzhbkQpNm+W2nK+2HyTjTZl3KWu129t8pLfjEjFhA3P848V
/3mt4dEGLhKzg1VZ7PI7pZyv3MSYvEJ2MUdjcFQTlKM5x5ulk8W85wZmUSvttnVpunNpsJolANLX
kdEGWZRFi8+eQHuyp5Ztm6VlMFJYwp69yi5t8J46YwBJRpmfk6J1gVhfnGED8e5ZfciQh0mgapGx
ZbNhKx9gt/Wej9boQDIem6dlrNaQ09WMXS11unLq0e6VjDMNN1k/XfGqa4qoN4Y9QiszYyELCFoW
emLvZVo6x7Rrnr14XL7JYZm2ZBFbRw8arY+ZxMuDSmjlDSfh+BUin0tD5gIr9fNoKUSQJk26anaK
cYaZ0MjXIpSYpe0a+ZVfwoEablh2k9MuFrBpOJYlqI6hi/PLXMrO8JlyDscyQhAUQMuoc5iObnZL
A+40IN4i45Y99njvNAPDzaWIyXWfiza7xe1UsbN3Y7Au4A61XUOhMQT0Us6Nw3FwzmMvg8cQZvln
CqEaMJzZlduJzvOKK6O+aFAnW2a5LH6TdQUsKaGyQPSJFejritj52BY36+J4IBr4OhpxfJcYI/CT
dcHsrqvmaGY4lVdjuuV45vAFH5S+qwh5s0/uJ7tq1HbOHQGSmfYFtDbb7GldbBsfO275se+OKprV
HRnK3o9mMevTnIvxa+TGiB/WdblYF+dgWQKiqbXGj9a1uv6xYSfYwDrHHkxvOQ7NI3MtdvGhcOJ7
siKMl3LImf7OU84svWmjO8uyENMNDE6IZ0Qp/1qi9M99CzClvW9WEUC4ygFiguJhHIppuHYIMdCm
iNEmXsF02Rylc4c5GLJTCmS25eWyqBt+cr6zq9dioEzSaV8dEnazTeTpy8XibN6p2VTHJmWaW6+i
Bs6G6ahWocOwSh6GlIeOc54PecqKDxQMWZx+v4KimTGjllCrcEJ8aCjkbKx6ihZpBTtMVBYD4stz
h7/o458Nj0h8zukmCIcASmIMQm7JKH1XJtvA0aXfT+vJ/MySvDoqmoU7z4wFr5q/G6gFeBBtkhIm
rbqokKN/sbNLNLshQhAMkRIOgmNr4F5FrgWuXlTbqrLUzcwIYm/ROPAFy0R0EB90yx9XPYq9KlMM
ozeCPJ5ZSjf8kbi69qpWPUsDIPFs2bVFrmkVo3exveF9WDUwKfueoMnLab/WJd+yVSvDU2oTI/Eh
oWFsiZxmXpU1bTlgjOI6bc6mu6pzbJMR3Ua0i7TWkdpsBWztPXM3N1Cug4lN/mdHdV2xrVedj/Uh
+Zk/5D8RtrwQqPEqC+o+JEJuLEd6aSBNe1YQiIj6VU+UrMoimmL+ueI3zVLDrYaH4GHWncd0Cu29
+pAmmfDtF2a9sXklOwrx0tqD34ZpwQ6+i8vXeVU5daveCQEQ/14gs5FBaaYqXk27zvmeqKSMVS8F
H4hlvFxVVIiCxaXlOONTtKqsog/BFXUX4//M7RBiQbpL3wgD/toyvQ3sWZgIZpRXnRSSEenzqdMs
GkQmqkxoAbVtNaSED2Osd+RAqvneckSC4mLQTTSdAg1UkxkarlbIPR6zfIoi+xrbZYxKi4/YZeVr
2QEbXPa2I0gIOAW5hbxiRXGHamZjrKb6m8tyYGB2rHkndrfjWmDaRkM2CBmis1g69KZjsxxd5ciS
HXDvXLpcXywf+gDzvImMdxp8pYZLLRYbFifnCOukwnIwTHuqeTEUvLv7gUmTte+59LFPlguQHp4B
Ul9K9lKDargJoBAV9SGteT8ZJ4cx8z1pUX+Vmek+TpMgvruWGhlqQKTPbpNy0MaeWe3d0snUFSFq
SjB3KHO0MO70uTG8+gGtjnyt4cbuSwfxzCqD194tEcK1wxJW7Ou2IekETpFuYr1euDJqGffks1Ti
Dt9nnDO3SzySr2T10yt0K9lkeqQfK0Kb9U0BN5nZaQ/RekJYZHZnx52N0vlHkf13W/cf2jpDsBr+
rR8J3rq3P1iYN2/5j//6n9ey6P5Jr/nH1/zR1YGy/PQx46J703WBLPK/V9DC+QTEdW3ddAF6wEAZ
+mtS9rGC5q/QUFLH4o76P32dZX1iaIOak/UzYcJ/cXJGBtKfGzud9TihRGsuERkpjOz+ycexWmap
yef4VlYVU/RMy8nmIlPS3ti1k84HWaZmsevTKGagk5jVNTIyDRRBFH9vQ5fADhkxc9u4elxPx3ip
cyIsWum8Lzz82xxiPrqTvJovZY34/CVZrPpStov+XZnR5NGbpci9WeDLOcg1hjT7RHPKZ9khyji2
tTfQaZhJMxK6AcU3JsCO/amRzdyyTnqtgIdsRB92PsiBi47Ag6K5cqONUMUCA31uXoeeY8SgHTpa
w6TPm1m54gfdZG9zXUfWDiwswnWOOTsmgShOrhkRiEfQV/KgNX1zHMpcVT7guOl+qLW9obiqSsMj
EmEysbFzCZAnVa4/1byol8lmv272ZhX083SJPQEgUC2iESIYUxrngGAjDKM+Nkqb874A1QD6qGlB
2YRkYvj8y/Mu60svKKIS+2Sppb1rq1E557VpeOcdmc9p66mQctZhSds1DB2ts2yiKd0q5IqsmZ2p
2qPOp+Y3JmO8lsrKEivDxTcjjSl2DvQ5pvOjRVtrHuAFx4SJEpuAR16eEe2Qcb9wO+IpmbZjnPYK
F44XNZMxHEWeCm+ABOYp1kY0VCSCfeQcSlkxzYT1gwVFPLQte7Ss9th60L5V6ieC15ZsG90YzRuj
aO0cW0seip2D7IdASqIQ5ZdqzED117k3XEY4QSen6FlhodrlHpqzXh0Tizt422TpvRAlbPwEw14Y
p+MtfsbB15NE8VhOaRmQchDhpGAfxoK03EaIHndLkqT7tIxvRVLBXHZ6i30UC152VFDCNlndRSfX
5axnMc+7vTG4DA+wI4eO3JnZPuaT3uwAb7VvJbyKd6OrhQn2p3VsYMUrctKlHme5pLAqF60HXp7o
Ep8lfwbliA3/wSr611hZNHQLiP07ZpUQREuril6jxtLPkbIIr5lsbc8dVQSSl7siAq72YhHTfVF2
Yh+PqatuuTgkwl537P3U0NMz1Kp69DHDDgFxy8VxwL9ywxoHmdaEluBC5uZyKgBvsfNB+IXv8Y2f
kXwIPSetI4tunBg3ZNBbzkWXsv0CKCR8jZvY25U5iSWVMq1tWiPe7YWsnslzuLELad+vT/Yt6FPU
c7pZbJ1aXBeuWJ8pdrdxzcpmzImJgXeg0n+WAjtFaafRl6hKWKPW1ngphzQ7tJmzCjKdiIpoSPek
sId+iB3qOw1Eu68cpJ2Rhb7CYeZ/cVP5eWHsUphIU6QWOpd0GWz4Q+gsFVT1F7sucTSpdMKFlJjG
19yepwl84FJC7Ml09GzGOqItWvOnJt0YVRvvxi5dVHdk+fvOPsPbNAmwz1UqVnug6h3rsTLHKaYX
GMp3y0WXZysr0kHqNva3Ll+duF7b8j0q7Qip06BsqTS/7ofsOOpOeUIOnm9cpdQ2HEgNNYvIPTB7
XtUlxbAaRkht7OyIpk32XXIWXtw/QZ5bGeZD+oTe+J7HunxwjfnijVT7dsq6VJMxug3EuJLRkZZ4
vmdl7neoMPGdl7nJYQjL4rtMdC/I9NkgJY4URWc7lyzsZ10cQ0c90Pyj0zCHKUh5uh9pXCscO+Ns
ABU0ww0o82dXVyKYJztiR4zL5kaRgs1AXjdfy4y9do6njwpJWCqYdMf+arsj4hRRLQ/l5CUbSzbj
Sxq3VHumKq/sLlMSuuX0rk1kgwyG2f2MCBfCulcv2zKLW3bahvkFxDyaf0G5M0zugvkHTr2gf7oz
mqY6h9qoP0KAW1Iwk01a78qyjVCx1PobSaFNYE19+aAsrew2M2izTax6jd6ti35OS6QfiqGQX01M
2Vqw8Ght2UBmm7ibB/y0UTwGRcnJ7+Kf9aU7OFejXqINn0gCpyJhPEc1nFGXNu9Uek11Vwvq1468
PN5ZL55/JKDlH+0hqtWmRpIRtCRToI0ULTjNqXZQlENdW5p57jeWUf/IcwYxQLQ8nzq3vE6KCR4h
B81lKcrxPpManUnqIa427ATgRRLjl3K09Brrog6EUatXEhWMJ3xT1VVW7vyoI+OGmOnE3oPlTd1h
cGF4llOYwGgMCQsa4kS/xTqUvuTQHF8it2juCur7z1UaJuce24IfwzB+FuAgUDaVZCU0w7wNse75
ENfaOLD4bUE1dobeHTFlDZUfyf7ZsnTGjgkevkADFbnBKlpuaz3WcdjJyNxKUtNOxahZHW6+cT7b
as5T9krC2LqlZfI+duMXa2LTaw+xs6cVh+en6nA5rRE47wbfX9uUIdFiUceKyFG69zIvNn5Ga+Gi
dwldy8hAaJMduFPnImGPP4USsJCvEeDNLjt0mVW4zIgQPDc7oMIouv/eeRRd0s3/qThmzUs1++93
Hte3tn17j/v2R9e1vy8+qFzXr/yjRHa8Tx7jeUEBY5uSHQYl6B8qTWl+snW0mzabB2fdJVO9/iqR
jU8IAODg8WX6aqv6rUQWAL0wIa0L4T8iR//C6oPFy28aTdYLvAL53yaLF15M91Yj9G/rBegGfPAq
rTqwuPsZl5G311x880wpRv+3d+dfrTL+xSsZEJrYZKMJ/b/UoBlqImuZBK9k0JvmevVarRnWtKH9
Px7Z9+l/RT9YUmZg8Irf+fL/6nfiNdiZW5KP0D+DyJi9hUvDDPnQ/W/2zmNLbiPbol8ELUTAT9Nn
li8Wy3CCVTQF7wIIuK9/G0mpm0ZNPvW4J2qzRCLhAnHvPWefAXdPqM2btqex7oLI/senBPRMgvDj
cCbH+v7i9V4uUDvONTrL7C3Lszfmsm8p//nfHGaR0Hrc8Z/uUefGcxvDvjnwiQi2gQ/7nqYW+r8x
+S8uHc9qYMMQwywnFkf9t49DVJuFXcWcUR9iKsJ+iaqzIq5blelvTmr5m76hzywPnu9Khv3cp2W+
+MO18/rCN2hA1wdkWHiJNQlv0fgojOmx7nt/8+sruAzJfjoYM0R3CZ0PUHB+f1oGTgPezYq4a5zR
G68F/pL6TbiqjOTV9Bcils3WVkxh988fRd/F5gxIAMKs++PrhQZJSwJi60MNVvidXuLTncDIHo2U
//brc1wu2E/n6Hgot4nlNHmrvz/HWaea8O2iPgCWVodC19OWOV747tdH+Zt365xZ/NdRloL7m/XC
9wO7N3TOUYLRuWA689gXTOOZuf1Xl+6b8/lhZRqyIq76kiPFuZ427CVfZ5i469+/XmK5Mt9duYAB
Mo06NoruAsD5YcQa6SFkX9Vmh85NyfE22mrVEaW1Hiz7uQEai4mN9p0PqniHIsxZ0+f6TSIGcIkf
f4O/xEvD0WBKTq/E++EJrcLC8Qv2qQQNkoFQmz24vqnuxtvZLibsWiaQ90AJBnuOczAhwGzSHMeS
1UCV7Rs6Kei6PQJsRlwzqiqHT6QSErqEzZvOtbkEtmZvUGytYzSL/qr2qEUUIlMg2WyYcMTzr9BP
JqEA9NAaOQvqU3b3dziX5FPmyeoIEzr80BdgcQYquQNxS9mqmspgP6S8UsiE3WgNFQmHT7YIekkV
tI9dF5dbgmDLbSe98l1npPbJDObhUxPyoRGdy293BUdJ7eoCdnOfYtj242pLiBfj9myJisS2QrkL
VqAIOemsB05ewWi8iSTxc51jEyTZW0vAp9B5AFHZ6oI9vLt615jhuE0boHaGqo11YXJ2c8HaCZm4
W3sdOHoSVglxj8i7RMGr10RtiUXryw67D4R1sguiL1M1Vxcw0KuNj0J+7weFgdLflE9R3DsXY4Q2
PPKr/NEdsoRup1W/NG4hnwhEIlvWG0T9Uhe2nvlNPbGRsVcHHXUUgQSr0bVh2Rg2rK128EHzgfO5
A2/TfQi5NBdx2tQ3rk7fTME91akrn0BuvY3tEL4jcLGiBlt+fdsSXZpLclBVbiLCXSJN4ls6GON9
Oib2kY9Kt0bdmOz7KMep4MDSIYpTl6cksiAa2TpKriOwWDepG5VvjG7EtahSLqLOnXIjjQE8xvnN
y9vIPuFZ9C9jl0uW0XV/IqwghecXT4Rb19GDP0tOKfKS7ENA9gGlPCmaQCTTAhw2Pel1NSs33yel
NOsrAeMg2LgxcR9xWBvBVoqeiMsSvzKDUrNUlwbRBE8+RogHsg+LN2ZWgI+yaNqWHYu3afrNwU5F
8Fjxcj9YdIvTtaNMB/oYyqaMkWfco/QeYY8CC0V+HUhuQReOmbMaZU1KJT4KY22mbvBIycVrt1C6
1ohVKZ8w0+073nu9cvKhjh+70oj6vfbL9JXQUGOHF7a/ol+PID0J+nxPzup4P6igf54p4fZOTdW9
Gwwlk11aW84MksHHk8ccjuaGS97GxzlYegEz75YNnVls8sFp3/deV7/QL3EuvAXyWIwVP1Zpwzq5
NMdRVgxQ0kXGnXDiKPvQRJL41yWpFuqIRPWfvjEPDS4ZAlonfojYiYgkV2NqSQ6OCze+jlAkkKuc
B3sSagfGZHx9MVJSK/qK6J2YQEds5jRN4nqMv5R1QNRA5uJqd2OS22yhn+t2QvGCT1gtAP1yOw9+
eWL48daGS7YdyJJ1uyQwqOhLpxVUsJb4y0Yeuqr/qOGqngoYNVsd1u4FX2PvLl7CfETJzwI601/1
HdUr/pZ6h0aNJJHay558Su8LMyD8ayaiM5pH+jAFXRT44gktRavLeahZFeG+5vVE4k4a3Fjsa3eN
wVufaSQpfV+HK6uFbzorVrdi6EisXT79tc15yyJ9xRAP5nBIHSyDrX9n9Z24RuQuHlKUKCe89RyN
BfWDDvBemDl5FX3J6TvtzGtU+A0i6lIPn1pDgf6LWtac2M78O+FCsbNNSAEOC6VSrB8ueC/CbmB7
UflPm5BBCVJyS/t3Ib2XSzFoVrLzZk8HpIXkZqFxltMBLCTJeO7AoVVVKTg7fremFTh8ip3yCPij
hCPQmjzBptyqJL+xapLNYghj3ISivmmbZWtfyeoiFzUP09DA6UdtAPjc4+okIU6IwkWvc151Qf2/
dBkNZROPLkpGnhHHnMV1RvLcdeqM0a6fGL17A5sZwlY65zqNnF1LV3fdVwBFHWtmRewqwldnut7J
yBWaPXT0eI2xCGENXZNmwMqdm4qIY74GD8A/FkJZWZ6IRiruWs3aY0SsHkPAS5/1Bdec+djOYiS8
ikqCla1Qmh8DgXCnN6AFZJUG193SfHPB2aZxFeyLIDKuOpXcWInVPxs0026mMSY2Ip2fEtMannCk
+hufZCU0icIB3Ab1rYwZQdaGCm/z7MVrVAFeLH6rojBagyV4z/v8qHozOhABZ2zjiKRVQD31jT21
knHahHvItT8aTgWb0uOjlwGLOxpJnD82JSuvKllxTNIzHhITQud65pbWXxdZ127rHfIusaP8Q8+L
f27Nd5u8wCkf9aGgDa32ZRyspIjrAaJigL0ADRSLWUqdSeSETINiLSIzO5JOZAYrv0a7XmaqUJsJ
MwuKptoCygfGtjNXTjg0EFoK+b4tZHEaGqs4Ickw8dH5ujkxjNYbSBUMJTZhM1aeezENcixmPj65
Yv2DpxbeNwhvho2ZpTGW4aQvCF5IA9pvgBfD3j/Zva4IxXI1YOs15YDSpGkQ3/fWTmlMqw8J7Zfa
cQE9JREsP9+r6d9PgWrZ3TjmtmlH1vWJgHJSbDrVdbeYYZnLprYm+xHVfbrt6lgR72Jp0ResPe0H
PzMz8jrH/N2QWmO+qoW7xIhh6wF37E39qSTIaZPU5kfb14eaFiZZFSjWiIeNd9Ll/WLh6O/Q0BhX
wioXQ5YHMsOw5bTnPZUWZgDcgwSXd+RNQN4bm/A1i51s6+Gy3UqzIuPea8Rz0ckRuAXG6RW4OnNT
2lIja4BDcc3rGn2Kck/Q6waDSvrpiC8gN4xjMjokdTF5Yn2zXZZvO2J3QsGG8HCwg9zBvxKrQ6YH
4mx88sX3v97jWz9tRpcNsZCWA1iN+dmPVWA9QvzzCRE4xEVhn3TfFm8VGaVMzrqhNQE62mytoENw
2eJUdNeLnmglsri+IRJc0v8qXvlwlSdfkss0SUqdNqnLArWXJixeJsFlqVJF4jHoIMQtSb06s5CJ
lEr2Fg6TamszQXln2ab9ytBoZkTDP/YIfL27KSRWbhVOY/64TEU+nNfAsgSHvR7mTMa/qap+Aujj
oTVpxQCRgfkCo+6Hggc+IfGirZkfGjYTG1cOqGIijX7LV+yZzuHfk2UQsSpn9lhZoKoLFj/norMK
gC4i+F3d/BOCZvk9NGwEyd5L7+HHuhkAOusBv0cVAprbdAGZnFhxD/BOru/DiU/+r5+Gnwp1HgZ4
OxwJ2cRia/i+4mvt3imioc4PfcOGtAzJqxYlW5OyjM+sx+r46+OJv3v6TIg+8LzR41r+D4Vsqdjs
2dC0WVybgXlDyTcvacueZF4erM5ANJHBxLxx6crfnj/BQ4WWdB/LQexiwfw2zHLn9RynPrbscX79
+36qs1Edw/5xuCy4O+SPgtxucge3TkTCMGFK9g46zwvGkr97B3/qWHAUGhWSBF8wDd6Pr6AmYSV0
8QoeXJudqxuxapQ1ZjYcomzy3Qwe+JSycyc3pn/+9QnKn+th9gdIjHxByBTpET/UopPI7F7lQ3xA
qxKFSPyr4NIAPfKh0OxL22pwppvAcIJHwm4es2Bq3sDw4wWeegc6aEUO6bLYIQZpcu1b26ir2csh
7zqw+Q0u06psPzch8+LjgqqPvnZc/ifm+F2/elmxv7nRP4s5oBJVWiXftaq//qG/NProMgInoGkK
VmABbP3ZpwbO6UGI5qn/Fr5p/sGXAe29ZCOysAI4+L/tT/R58ePyL0D4prHxT8T5dMm/743QnoYg
QJOVzgxbBL59369AShAwreEin2aAcQ2ZyJHbw8xPQzmtatfuX8yo8K4Nx6nuk3paOBwomRu/MMWa
eOh0KxgXvku7bJ62So7ZTUyGFi1Ho0Rs7ak9Ez3rxNZdrKj3MXE7PthN5kqBjSotGzwaI0580edD
BSQlEN6qkvklH+DsFoSHvy/MIN6HDPn3dkZQ2ToqjHDD1Nndz0msjpltuVfgrcLNTBfXQD8xdWpV
DL688EY8SVnhTrBzPHaWC9mOqkwy3yorPJdnp0GymA60+THL5urVy3IfFqkVEv81+sQZ2AM0gd4d
d1k4ujdDOGJCRLeAdiqGk3xcdjwH0KXGp6FSzZu3SK1Q2PlH+k3qSzTKEFDQIsVK4lpT7oLigS0y
nNKMwfdqIvinWFup/JKamOxTBwhPze6R3f4UudeRWUYXbT0bnwhR5G1nJyuvYcuXxylpnntMyPfp
IN19Fvv9+7juundB0I3FKid746MdetGzMsifwbttTyuXDZpG3AsBmRr7SCuDXas0E8LgnIBEDYlh
7LWZxkGvpT08ubgluMhl/hFEaHcI5qTb4UpOPs1MzC4TU90Yc+ScMtXVJxXO80Ud5v26dLx2541+
iy/ZhRW+MicENNzPKHsOkgDSJVdJ87cVRgsSwMovJoG7TVWFy4mOQbpqRagvReIwlHfMeM+2L3+o
Sjt+yroEXf1Q1pZcTSPJ0gX5gWKDRcPELyAtBsRYt7Jjo4B8gm6ascVX5qJ2FX24ixc4eB5NpKEO
LYhqTG/0FRwkrm+wzuBw1iOM/hVqf5SYaQyV0gUeZDeTdxkRTbBx5olKA1vtVU2TjQQUS0xr0tkJ
ia6QjE6YmevokZ6ddKnZI/tjMw4QLYhIdfdezkyYBmBxmOsZhFlP6vemggl+PRdOcBehnlqjmtwS
FdCv8XtsXIUGI0erCi89O5p481BYGka86Vs97W3Y4Rfz3LntLoW6gcEjDZ+Nwo2MU9gw2t0imhHQ
R81Wr2ITYm2PJjzc9lMmXjrSeMt1VDb6Tuiy+aAmU5KogjY/gxLVUwN1030Lb8c/2FY2tCvlEziW
yKldBYVF1CTKUj4+OhTWI5aD+IJRrf1Ruw2mQCwyU7T2FGmidVT6H1LP9K7wk0wmwa1Z8ABFm3z4
CWA7ZUCcQ9giLbDa+QSGvDpRHLxXEOsNc6g3bg2FT2h3+gJ2Y2IWg2KnhEkfliDKdIvKTKXErFCN
qxc0N4r6DOTEkVFxt6jAkBF3jhNcxtgON3Wn7gAYBGiDEt5nmlcNpY6yt35ez9Ry2M/nXrcbnNHJ
xo6xKsxD15yySngnx2zhEFlx6nMdbASYWrOiKSh7ayOozX2PPeJeUhYTZG7i2DGCLrTZWSvzRWYx
LS6bxbSnEzetgxIZD/GFdX6MJqu5zuyQwXNQWd29YsLMhYVP/0SvpZlWzLStgcUs1McwGiHt+8ZQ
f+i9CQaJbRDAR9EZ0c4wp/bGbpXxqXI8WkWtSPvbqZngc2Uz9WtFeB8NJNvud4i2mw+UwMOXBprY
y2SX4soin6/YUm74UOMd8FPrILQa4tKCMNv4si5oHA7hMaY/KcEN1O+iDEQBSV3DBWL6ZF3AUd+Q
9n6yF94fCFQCheM23/QRonHIEtG2EnazH83igSxGvYflQQMEp2y/aslFAFOYTeU66FBANOY4f56p
Z4ttL9xmU1maPnm1+CBzE9HSuLSt9IWdN26JqUoNdfI0G1FeHiYy3zKiN6YMMPAKZI3oumetpza9
CUcSaOWCVhbpEO7APal7t8jNe1eAYGZZHEl7A8tMUtujA4fhvmG/fK9FG0LpStLwcViQzpax0J3J
OxhO8YJ89s/053YBQaNQKm9Nmp+39P+hnCzAaOKP7euAunJdLTjp9EyWFnzt1mMxJddaAp5u/IVB
bS046jSAKqzdzNiJM626XcDVlPYwrHHvuqiRFzI0mgnMJoiwEDgDvrYXBHa6wLDZs/qIRBZEtjVj
9qSBiu+zWyygpL2G4K1qbKGLQTTixD8hdaKtMClnjydf78bFUkr2Iu7SuTHmQyTyaZfaKOhH0elt
04V6m529qXqxqSJ8wWiKTYy+YHrLxlOtnMXSGp7drWxpw/thDo+Vm8orpicR1LzFDDsttthoMcgu
1/NBLabZIJ3VgeXCgwakjJvs7K6VcnDu8mCOP4dYng/JaFCaqGZE9Q97eYJ/7013MlPDPpiC4Ngv
Nl4VVsVtv1h7eZ9w+VLIqJV19v6yscYHPJ8twWd3sF6MwsPZM9wu9mFKQLGNF0tx2uT2jV5sxrMX
jMeWDyNNDDlcl7iRzcWWLM4OZafFrJwstmVzCLNju1iZy7OrOTk7nJG98ZEGgemsLdP0sM6l2W24
2KIxQsBK64T7AtrAv5GLfbqLl0VzOLuq52Ggf00chazelfiuE1lGrNixH9d0cBdntln6Ml4zCQxe
ksW67YigbW7ds6Pb8oLGWM3AiR3cVaIxLyXKSL5jX+3g+EnwhvPh58pXi2Vc4R0fA8sHr7YYyuvA
9YAZlqQ+p/jNZyGr9AI+TFscdGfEzw7N9eRVurzia/RgprNVw6wid2mdNbN7JcQ49t2+iphX6BOP
rFTZiUAT4idfEeK8sO0dn7LMKD+l/Sgfg057D9je6hNQqIem9KZtYTXF0WvQvnqa/pJXjfduPr+w
AL7ZCYLDzn3x9KA/WlXLDgIUC7EGjn7xAiM9MJDOUQHl28EujEtujlz6BrTmsq55s2YH1VlXNxkZ
yo3lo0DWCYU9cY93FqEK01prO8bPpYKI2YqrsQzMcr6LkWomeNUHpzC+Frf/q55+Uz1RVSwC9f+s
9nn8gt+m7L4tnv78M38WT574w/YsWgMWfYEFEEyj6N86H5symnroT68yR/pL5+P8scyeCSDAA834
dSmw/qyibPmHh/mZ6onCR6Ap8v5JFfVD14L4P945CinL4iDIyn5oG/mi13MCdfPg+0RyYfr1V2n0
Ww3CT10LlPacI9ZsC0az9WOlFuqeNZcu+QHkQSlWPV25lT+G1Yey68fbwvWsY445EdvkzJjrm/tx
+3Ve/63qZ7lf34/xOTh6f7pGXDaPi/19mYgiJh8tSKSHyA4Yh8KTGDb9KDgu4aX3KQvHaxQUdUAs
U2Jt2nlKvoxGVzL8Va6FRVTMq0mnyb7r/XxtNUZz0oumuvXT0qAxCymnm1S9baNopqDzwvvCJabw
vzgJOj6BoL9EQf9jXqepaPcU3RwcCESS29Gu5l1hFPYx8YbpfWOZ/ToUmWdtjWLq2feM9csQMOJ2
qgigRZcE4y15x+Nt1TI5MXsGMAEU5l2PdY9tbp/t/J6BVpHobjeVc0fbGxPDb9rHP/XvuA8EMBEn
RAyk557bS99IRFrbYovjDcEhsepho0xSzsdeYa/GHfzrq/VTa3I5km9aSNfwXbEB+v6OO/hBKV45
Ug9v7oCYk5vn+s1JdVZzZzoM9359vB9eIhtpFM81FDLJI05Y3PIEfnNmUrRlWRg5x4sSdceKgh1V
09L69VH+5vrZpkA0RGPFlzS5vz9KwHfWz4mXPyjmKniv0rfaCkjza/2HXx/o3Kr8TviCOQ2sAgvT
si78tCikKH+ZZbv+QbL/PM5eK2GH8cxMEzduKiyIpCJ221VVddk93T3/ss7dbMPMPbyPdTlfFI6D
jxEJYbJyeyAytUjMftULwCBRXocnUFfTPuHZfN9HOKTX2MspSaOUL/TKjjgIVD25Fb5MDq1026fB
nZPDr0/ya7/4u7P0TZM+JlIib9HXOEt76Zu7FjL01/GsxgOzIHo8ETpoLwrbo4HKeldlrUSBX72N
lMEbJ2N0y8ObHvJi4XOJuttltYIKliUDn9ySRGm3NJ+EzJJrJ5jsDx4zGLT57laJQb4TQUEkH8Ho
wGpIgHvAwxBQ3CclQL94fE/qs9yUUTLts2hHPRR9YDnLDi71IA446Rz6hPwkvi7xoahDubUIvj6Q
kzStKycptrG0xZ7kI/9BhU56TA0GoyV0ZBqtUfgphiOxZmQUHeE19zd1LgbKOyyAl8ym8z3tZMJA
e2zvdJQ10HS3ytcdFAT6QxWk+HbxieC7LYvJuHGCevo8TdTVPjSxZRpv7Z3QTlvYczHR1Fntbgxv
tu+c2DIfat0WT1AmszcCapB0ZmYwUVNiPcEKQJNjRUt4fPb8Mtt4hVSHRaJyZJ49Xs5N4N64eeZv
iLspkYsXyXCjsWp/hIzlvJpNuzVou9DMyr4YmeFfAY+HSREl0dbw1KkgWHMNLrTZZjI4jr1RXhNf
gWZgLIcO6z+NDZLA92adXi7Xc4M9CQNT4GMqrOgeiMJ6cWIXJ8sYm8coK4pLO6yn90aeYUonPmS+
FtpAMjL1uKhMvi9rQr2tvYQDdNSzbb2q0G1vIQa05bEziXlsvNZ6yGwSMWueiD5HWtFY1muFuGSX
UaturHqEfVbJUr0vgXOuK/wc3Bps8i1FyWGY9C6OrTsZFnrL2tYfu7yaVkSudhT5sfxsKe65ckWN
Miu/SpDWrA2wBpS1OYPaMIP7X3QowEzzBI2dEK2I4j0NxuhdmUZXYeR+iOl4HGJyOu9D7Ji4qlyi
PbNXWZTlZlAtQv1FDtM5ob+zlBKX3qiHU+lkVOz9TGiNiSdWp+zoYQiHKza5MUuUBhVRlOnaTqvx
wvARd2XtyH7c8MMXo44nfsxIl0tm9jrOrKpaKbMBJsjHyNvwGYLjETH136RDkmx05Mq9alvjwpmr
6pJ5j7lWozO9AqU373TSej5J2dj9Vpjg65u5Ii14haOruZgmYR/jcswPwqJw8ipeF9eAD4oUqJFQ
JLcSBz8aLPbUIKnC9Wim5SfV29FzChjxs+u107PVq+FUANI/Zn0AmTaq7UtlUks1XRYCbDb7oxa8
X8YECARhyRRZwBS9VhzLJIAYshHov7YFLenFuDu+t3tcaZYp4yPKpXpr55W9TieGaIGlkz39hPIy
GbGJEZCD0a/if6alhmyIgAuPe03IuQusam+4frtqWjPbhWk/vSGSGaprc4qYyyMWJN0BZ62qJPB4
STpbEvHlEHMIh8LU9dbsSZXljNXJczu5HRQdZxkzO5w7s32aSWy8kbyo11NiNnqDvsOlNVpX/ReR
AkukmzwfpjRVn2IP0YdbJd5jnHTlJe1U8WCY7C/IhYsplEnBDXu2fFhNTGZWQcqvy0fUPRqwDVgR
N7vHG988p6mVbTJzJqHZYF9oOPW0zzNhHQe7yXZ1FOjHCs4YiZ1O+3k2YvOQpzZrD/3AFTKz+crN
K6IYGQofpsmqr614Dk8efZv9NKDzXSNfJJ6mwqEfqJ4zh2J2s+BqN462JK0Deh8kkUWoUeqwXWX2
zJ+RQd4+RQhE11pZ/JJMB7TQ+o5TIoka6qjl4ZjpstTZWkHs3AgWBsrWFuhYJ+cDIrJ8DSMgPLFX
cdZ1CL2efaRC4MjzKsiTfmMP3D8mvWJdr2RzSjH2EXvj2HIvzKLZh6XB1FhVxv3EAeKNAbVwNaMN
4mczgfgwgCOMkFHE3b3p1fw3AOn3ypQNObWxeDZRELYZ+EyvB9/epovInv2ideGM5r5rWBSE0tZ1
j2J0Vy9u1iKTSCfzNN5VVhhvq1I/YNuW2KO6ZOVkg7NlbHKrwjLoMfqjfVM1ep89l9/LPinbb+JL
eDVNz9OM27MbSz2tcF6ZGwW0JbwMULTWrKxTC86YOXZ8PX5Vjpw/7/8rWH9TsEoMY2wM/3PBehMn
1bfV6p9/4K9Rn/kH5KzFgs2kffFt/7ta9UmZJ9BWLNvPP/0l/6pWBRAvZtIo9tnXL0Xuv6pVy/9j
CcsT1LCSFiV7/39Srf6kAUBowK7PYQGxfCF/cgeEA2LLuHScI7bmOtxADMwIJ2VHCbAR9tHktE8B
+d07MNHzTpCIcvJzKkrEb+N7p/TrFxvG0xPmTd7pkbXnmyv5N6Xmj2Uuv06CUHf4gUgA4FZ8v6Ok
4FIhZYd9THu7enVie7xl0rAsiCM7YQJQpz0r9xI5W5Gt+etjIzrhb/9uP7uY2YFEUuuyobWtH6oe
HN157eqkof0ePhdNaK3pPiXB1aI9cZlOON6lNOkEc5lc72K0g+Q963jyYZzL+bOn2wZEzjxZJzgl
7TZD5rvvcgSfW9VU7p0HKnoiCMFzjuFQdJeithjemzURoYqPVoqYVqxtFEE3sZyQiXkCtzVCXAYD
eLi9jdYzAWFQvowGWaYLOBzhMjAbQDhVm8ZgnPzqwmtt+okVepW4bMtdRce/XxkdgJld1FCw0utH
VmwltvlksInbYo590OOs8rVN9wDIh1uX18oe2QXGbH/48Fn9YTKKcJ0RVbdK5461aIaJg0iQBXMN
XQWykxyn5zL1CwLf8DBfOkMK2VpN3ZM/hEuGoZnz1TJFPPasyr578K1s2g0xCUtjIJM14i/2jChl
mvtAG+md2SaJ2NBEMV/yynQ3VemZauPHY7AdtKWSXW+NDC8SXqX7MfQjFJ1N45L4asfdA9S2GBUz
EURHMHdQtEpZdvf4eWBZg9RAnZ/gV9gV9K3Z7YRdBjPZcWEwbQHpWxflqPBnRREsItbmQPNpnG1u
a2rYB6eXEjWZDTtpcJxnL518GslueZuhrGEO0DDx1A5Zfbbq0A5GJqJ3k6/7TnWDc4uU3NjP0o8+
N7Hsd5mZEEXZ96QPi+DoSq+4n+XUW3QfdXpC0pxuoCB5rzGzo8PMjhn0Sd0dpoSp5K6TBJwDLiG8
bd30oKjXPYj+PdN3gdvVH0+BL8JH5stk+Q4xpN3cc+Iv9mD2N6ISo7NKSq/4Ij07q1BX0axqnARe
UYApPGFPPjsIYzzlphvevXdxZKTWtc4SzWcnDQt3eCdUkYz1iriNiq+4FTbRmjQP+lI+mYufy5SQ
Z5CfKt2j1xs+0+cvaFlljDnjVV3WvXkFkEAlr32S40IJyt4GRNUqNh56po8F+61/dseE+n/C5fo6
GxYf2TDQo+KtQAb9Ca0UOyAVgGlau2RwJFv00KWxrUJ/ugLtREEMCIw4d90bc/JusqppOqDRlASf
hCWx31WpimijdBzVH+xgoBynT01UdzA5pYK3lREzjC6CTwG7MRUPSb1pAIC/thWNNqGmnEd9NKvj
hFL6HqfhshjGnH9GRXqTztq7Rk9MXjz+Co6mlnPDBOK8Y2Iuhm3jtOyOoLK1T13ipkBqkp5fD919
PjTVOB+Saqhf2tCpXoae7EzoST34rXjgRd62jJ6MlTZH/dFMlTav0kQ55nVAupBe17KuXlWbw7iv
jXzenZdyIGBcJ3hREoDqkjWeGV1/PSZyfgRyB7xonQEcxTk/LhU9M28Ea9Oro7Uic8n/Gr2URec8
JlgQYMAhj81D/1xGY05uk0GizSvai4JHR80tIj0oYU0r+MVwHIGHDXjUU6hsiq0++Zw30xk0xm6X
Lg/Dy5HSAxKZfYaSJQufTJ1RZeUZW+ZPEMzQx1I3mmewWWEoIGfDGXgmF/ZZecag2WckGtTrUG/K
hZRm9As0jYuDEAJAHDC1yl/AagjlgazFC2+twsB+HZ8hbP7CYwt90z5GkvYgI/DqYyu699Y4uMc+
CFIHVw1UN30GvBmMnVBNnsFv4gyBo3KFArSQ4YQ28VtbfbhIt0m0jReGnMz06MK71s4nJhMu8EVL
sD2EbUbgGjmLuXDGS5uQowtgffGl9hZYHQBteouNXzu4j6DZoROHayflTEDmQrvLzuC7eWHg2Wcc
njij8VynBZOnz8i86YzPK88oPXHG6rGOR2sncmzmgCz4bWG1T//bOP6/fM3QcNjs/eeN4/U5fGb9
yvc3+T6rkb3O8kf/Gng4f9jsBT26orTWFsnYvwYebCFx+LqY49mmLGMNtih/DjwsQmuwflo0bMk+
5o/xp/6SjVl/8K+Sr4gG3PkKE/oHxmbvJ0tdINgjsyl1XMn8BOXY97s0b8FTMCdMDzRP8GKR1BV7
GzCSFFSyV9hNur42q5VvwqU8oiVDos9XGB0xOUvY6OXgLlCLeSyybUV/vSEauBID5MO+LNgoxFb7
uUjoiZITbR8xjeEWcXJMb7YmYHiSafPCPs1aKMo0KAaU3Szf+WKKmgP/MkCf9QJaDXuYOYdq26dI
pFdDKfxLQZ/vtVS9uC4wm5VLoo3rLm+KX+9lDgdt22bG8kesEP03oWnTrWy64FFbggMPtcna2bX+
eB+NaDSLRIz3KpXWMaTBhQWmHj2Fe67MqlPlqMo/uYHXfm59k7CRsuBlEzHzDgHGLsEbA+sG4wFr
NvUwp1EHtsIzKCN1MIUlHkxbOK+exHhTVYY+WH1svccPNN6WFv6U1jLpbLhFK64j2XD+NY3XRypl
/mrGqzVgkCBtYaEgh/rMFpUrUNqVfEgAP7zwvaaXPFqKf80eRXVRVI7zOvHtp+8S8QMcMfBrh5yj
0ZQCFxGS07fWFnbplRuMnLWdcUyfvdNLnpqcO9J5tOR6MK1r106Ki5JW0LWVoZjy+5BwjyEZr9Iw
6Y9wM5nRJojQV56xXE93DOmmFWNhuBuea/6frzcUWBnTLDQlwaPUyx3uJz3eckvb9hkbAZikoV68
XWMmadyZbZ4ld0YhOYUKPw9z/D7mn36b5/PayTXXBSkVvzEejZzm6QQfBhqMFy1GmgIhwRL8YD4p
lyHLLi9mowJ3Pb/FRA7R6+vL4HHKh3si6hzGO7Frr/MwCeHKtOmd19uojOjGGOtaFPKhtHkAwYsu
Ty1RjLtshDK6m+qIv2kOJf/0Yuzs/BIeIswtWKtcIhNWXtfzNEjVcmcDq2MUxW7EOmJe1zZxGV7X
rBFO8fAR5BRvwp7EFSxCdffZYwcTbc2uFtfx0PASombgBpPSYzIUDyK8qFlal9OpTIMsWWcBvFqg
5g7PG+Dx4LJCCWAfzo5WA2a7BQXF4ncns8YuWKB/vLfM/2PvTJrjVrIs/Vfaeo80zMOiN4FAjIwQ
RVIctIFR5BPm2eFw4Nf3B1ZWtaSnfrLaV5ll5ctMiYwAHI7r957zHfIsNvVUsWLo5w3vSq36yJpI
hmQj13UyBwzMxvUW+ZawjpUzti+EBPLDRKczK3OgeqHZoY8kiYlsbaN9gT4cP34s4UzzuL4Ffkvm
IcZ1pZO8xK7E9WeNXJIJYf6tSngUGNI3ZzslWXy3DpIeLTPgwommtaywLX0WzOjpeLDQIKx2FB4J
DNXZHkUiF2/GkrXvGK4e0Zh3L4uHN6pz2jXvY8TlaCOWwz2OP3jTcp7C9dMx5ip7j4fTBYofUbtn
+zJ1OBZNWcXX0TGBZoPihq5x6DwPus4C03C1gMWSXJ+4t40HaQq+NfYuc4Oy1zpitQxupqYM6NG7
3EKRzfyEpjXQgJaa3/vh6MF2vM07Jjs4bIFiRVT7wVYvW+/gOj2piGUe3DidousN3affYGXk+1qK
ePfdglU4jQIeCrr1PSymzWKxY1UmkKO7eVCA2PIxiLKZkR60RnX34aDiFIlNFDouPwdjjH2kZve3
uWDL0PXYeBC4LrmCla3uWhY6AtK06F4KPe4OgTEke+SB5oNnseaxF6C6ghzbE2DDzMg+KFw9R4u4
yxtVrAZULUDNs+U0ZDzE5HK1p6TxHBVZdVWmwOeZE+c6o7LRJhwklBN3qcxi+3XITLZmI55ZUzE+
jdU4uXBbqXaZZ6CnyUKyQ42HbpwxFjrzBLWqr+BGkgDJejEGQQxlzSqdAskTUcGeumZNwMyWs2C/
zSsccpEkSIgn0WA2AESt58eTBzW8JwX+mSx1WN0I+x9wzgSPfeYY+ZmJT3+AcYUQ7GPN2ya8m1An
LQZHVreu/9FzjeuYyeARIQFGciRC/AqGxZ0ADecUaqfjj2S2NQhwyqm1rsdgxq7bdn7wqFkLN/I/
trR8MDJwwd7EUmKK0I/H3B+YF3ACnICQG5pxa7s8XWVZMNkZJy6vVardxxNXSd9+BLmuDCi5Tp/u
PnbWpkmxd0zUsY8GiM36cUqSuXhyJot9AqAxH9SQNLw5WDuvAfy2KB/xrhvpaIZ+Ur8zfQqOfctR
Y+N3qDc2c5ywAwclZsZpcdjISDjnCfYbv8WnlXJESlFBpfOB7ceibYwBmxJiA5akobncLMG5qgfC
SE0vVjjRhiwoPy854fV6Vnp+WAoteeRVikdGOBW3qNZ5aqit2Wt5JvttyhaD+XiC44zQoHffm7p6
bBKjPwWxGjnZzyB9qEMsSnIbsXawvogGoj8fsjlpz7xj/FsC6PWYZ1dau76z6DoZGLEcTn/nAfDZ
Gpucfsm8zmF6VcdfO9r+mtl0NwMOgLAXXqh7Oc8AoarQbKeDEPNxSMf27OVBX8W36GabELn2E1rc
XdsO3U5zveAWEPYmr7y72LQd/Wl2S2DyZOhVBN4jgq3YVVc3LiAMzHg6LMFWR6hpuuZSh94ACgwG
i52H6MSrg4HIKgWt1Pp0VgprV9SmDDYe7TxOjtPJydOiCEmtn+XGrBkh7WZ3Lr1DwLLk6DuM6J/x
gwf4rOzlk6+EdxrygNccNtNVndcicpmML+g5m4sG4ulTthT+yTNjVq/BLMFNfeB5ft6ukw5Fplbh
jedecej30BJgWNMc9YrzJf8ye9UXgLtdeVN2g/25K2AaaALHPs2oPkBQYUmcjH3wDVsBsKYpMDcL
i4zjs5dt/X7udzNS14Mu6bvNSjAb8nFWh7aNBwEsfX7x+zSfL1wv9z0Xfr1b4FHwHicvLsmmLxzq
2h3Be/3ei6evjApDJ8u9b0mn5rvUmWt4/J25s3Amb0zh9J8HncvqBrUbOapSbxynHzREzfDPhuHi
Z+nyuVqQijTgjGm8afY+DqR30waZHSXd8NCtva1N71IZMYDsmotYYraooqI+mdI2SqgbTmPVGycT
bS+j3GY4FsFo3zTM9slrVXUki865Vy5TPkY/fqQFkCJydiwyVKriliDirUfVqS2F8YmXwBozJutd
4mvusUS8/DkhF9WqrfpgakO/99c3hDVzSleMhQ4OZHjMhLNG30F12xxpHGg+h7N5ZRJ5WOt3RZ/7
N81cii+ckLUbMkkglWmYSqEkU7t+E7IMqEs4n56YWXT7PBPNc075Tnk3YgBhfZvFAxMMEncnS7vq
qMcBYhjetvBtMBoOKtSmqDDAet6rVlTPSuvgYhteWYWy74cd2VR2g+SbZiLxueNej0mtdfD+Y/vM
ki1QaV5ESSqOsnbe2zSxI1MYzE9bvVx3K+M4gzB8jelqdNu4GdQzFXFEdd1TCWZ6vZ3xtkais90H
HLnGlZ2/r6KsMUBJZKZ30AfQnVWK4x1W/cxNQwdwA87Og55p4Ysf2Uj8nmsnHP1OTkVpRIlT9oz6
PSRH+V0WGzBLjbxaoZrLIJN3Nv9kl+YMmhZ8+IAlZd2GSQpjadMkVozkJtXYmPqMlime1EcNSYXP
ay82QdOPRrrtW2TkedpFHjycCwPcDDe1mB5bl87B4uLDCJhI7jANLNGY6vzH3IN4Zpb6lylRPksc
2oCtnbBdUPixkVaIXoPASm6SrrqmUgxPGk3QM9i/i1vUQ8jLK76vRlN/DqaBPujI2UWcCprU2dPg
tqPO8MsNxEmDp7w2Hy0SZMAUjd0U5cbaUE44uMWfYlopVLO0h8hjQDz3EnclmzpZnVM7s33POlGY
DsQ+aw+duVmc0CxtTcf7j08gCRM4rNYLKEbeuuYIUjn0M99KYLXHTnXudGbgu6Kh5NrqTiV8Vo8Z
9JGDCjtCq0u1VU8EKCCsQVAVZl1bzifdWNTdbCLhohYtQ/AalOWM4Ns/DRl+nTEERE25tkNyoY/F
y/nVfuhJve2rvksPrYtIiDcfpeC4Caap9xSbtDXU9yBYffs4N7xFt8pqhuJEg1TejbakFZjKCYc7
wdekiX68pg1BVa1l1HSJvVBNZAne3zKG6IN5gaNnHWAo39LC5/BWeL0aLzN9ivf/qJGzalJ347Ie
SuoZwimNW8zIMl/U7fpaeQWzj6WY0QJCWsdrKch+aID8Zt5j/uJAs7kcqIdgf3OMsV3wWD+3ElJD
67JZeho8dodbYjakEJz8ca28asWnZx3SBTZ9qd3X5sJZTlUpH2vOxuVeBaTP3ScWNo/QWT4IRjb/
yMXi/yu4tUn0cVq1TMium6nPOTQy0EmyQ4OHADSV18okSiRQp2Wu+O2OWXCWhF68KiioT97/+ct+
TK9+nC8FBvmp/MtiyKV7hvfLdEsGSaZZml8earAxWDRmNQ5h6hbMnHvwSXzltkI0qYbutbKL+a4T
dBi6lBN41qj+rqq7P1x+43erUUe46qKitQxenj9ffs3BADDytj/0+Iw4jGvAbQSNpMeBxgwXAYwL
Vw453ju0G+vYrgCxGsdbuV+b4GR6Du16cuI48s+X6tc5IB0mTPcMr01r1e/+agUe07iECJvlh7gJ
WL1V01jqabGXcXgmOn3pdjYZ3Ihda6cs3M1UUKP+8wf4zb2yiYVjfdqrC9MyV8XiD9q2KXWNZmHM
cnBU4KMJqIcEBU1gxObV0IY04UwWt/vMytLkLNp4qaOWCJJrUgvjwddH42o3cGb/sHv85rKgz1/l
0S7tP8ybP3+o2hpjcnbt5ECiGWdZRZEcrUiBgIMLogkB/LnajtXCGUJDX/MHHfDH3vTz+rX59Qyp
4cvpXJxf9JP1TIB6LReuyVzSMciNboZxP2AIzbkh6ezgRrAmH6GWF2tHYz2l1jY5Zmdpdy0dfneW
xbIBIJGkB7E2mtouAX/HoIOjfm1Rj3zcxP+RMPxJwuDBd/9hvf/NsXyXNu9//a/jUL7W7GF/fXS3
j+//53/jelv/4n/2oY1/GaZOuxm1Ap1edOf/1YdGk491ztaRg/9iXibFES4OrWtebzYz2x9k9/w4
Di8fmgj+6/9GB5qqgoX+40pEAO0DoSQO2eZzWb8+CF2fjH0VYFHUPFjB+Zw290FBo4WDR0DNZjrP
UyXlBVsVZefYPpeJox31ibFcM5ZFWC0peq7Brj4HsqrJ7dUf0Z9BlaCkzXeNPfnbBTLUsaf4DO1Z
8whaob/sD961LaEVmcq4zdXUvwZWdXGn8mJpEz0Q9BSCjZyjN6NwnGv+RvbZ91Efs2vFdUTE2BKW
XoOF04lvpPRhyJzpy7kJ9FsXrxHV2vTaqEmhEiLl1Z6LTS+gP61IlcqCzkV5f/UstZ94ddEMrL8H
RX2ZDHkXK3Jk7Gzc0TS5gK6+JWjiTOpsG7Kxc/DOXkHeNYRQLG+OKE6lNN5Azjx387BrSnaOvkqt
p7izD1nvs5/qlBDNgPGs1vyrIaznQpavHgXVTk+mO70vLusVEBX6eKzZ32ku0vKCYr6zVngTB3sO
YAmRt3KSD4k13fm1okYjzvrYl8EbJqpgb6T2gWbDuRjBdC1r31qbBi4MQW+2k53MtcWgCvXgpvPd
1NrPqVWcmDe+9l0OgMK5eqlFCQTUJ7L5QiskqxHzrV1yr2ZLQPNrOZzYxYn07RikeUoIMDFUFBhc
KDMl0A3Rl9jwok6jrIAcN2qyYSPP5ijR1muZVq+jMRP1MXPIEkS7o+4daFzyB7RuuUUxeSvMaY/+
+fwBu9Kkfm49jK7Mub9bJX/MMbJLUaizyc05+A3x73nGN8Q2/LjE8LdK4ZZw5C1tS3gW0b8EJW1T
lHc3vZOfmhkOkg2LjabTQ6U7WzXXU1inveDoApGEKjAqTfXmN8tZmkkW5mmfXYvOe86U/s3vrE/B
lNFSAdwxY3tfHNpUnZIPS+ccmAaQE99bh4Rk3o2mY8ooBL5/FCZnOp1pNE3cT6RK1okBRhCpRSCE
NiuLxqj+WCfGW2ChAq4UBlyRlCfDkw9dPz7YqvxeETYTgjAnsqBSD1ZspIDEII7B0aOD6mqIMIws
Cz+uu1G7V6bKz0gz8x0187XFqrMT69/je9Ifx6M7We4zR/T5wJyA1qGhrq2ptV/zWAtgMKbztl9x
QtYKFioViKu5s51wRlhx6FYaUdc48jhUrr9qmHEcpnMZdUtbYZls552OG/lUpd0Qkk5lvZG09pXU
NPfGIP4Ko61qss7e9tB38i3yc2vrFcv0GnsN6uekNZGv5HZXPxZ1/FgpzR23iz0EUL+QtKg0vuJQ
/cqxW0KTLSPFmBlLcYYvee6jDl20se3BqhJDTtuWSBccI67XXUstva0bWNigrx8bzQD9SDR1JEfn
VdVz/1bXJrZULU+j0u02vjfnm3YJ3F2VQTIzif65NQSiwaRm+S+5+dbAZuUNXWGVl3roKtPYWR7Q
KD5FTBIUyxBgCCEwdMM+2bo37pXJopsL79nTXHyr3XSMZf9dm/oz5Jg/wDn/5jJhIukFKK149D10
Luv//kONleWuPRLY1BzsFcrJKRGeoq+umdNdFjh7fyie/ub+4LeRk7maWnQbRO4v1UtgT2Ptzl59
SHjUkfcXJ7O06OhYbOg/vEx/c6r5tUyD1boqyTx+mW6i3fvlN02ep6w8bpuDif4bYQawKbbjHFB+
aCF5aI78k777598Z/O2NyO/E7EamAc42/v3na5lYNTl0Q4w1Wjhp5AzyoVE82JplH6aV37Z+X2Zh
535gd/vnX239eor4+L4B6Sfr6QZ80i+HOE5X04IYqj6A/7WQB1f+7Yw6bN0uznmTFwcAg28TtLEd
QmZ5yuXAc0sqB8L7+S0l1iDB8TImnC3Qb5D0C8gvx5Jp+tN5ctm+KUfJFyMUvmvyS02iGwO7O1Ul
j7qTcl5T9nX0gRMBhwj2sErAPJKAE9o+28M/f9PfLCFceLrJsR3foPmrAcsss6BqTLs+pOawsxv9
FuYqQykwUX/4Pb+7orZBxLUHnJql9MsVJTTRV/yPrNWAwffA6Gs26CPqJZswiLt8y4kcWhaE11LO
t2Dlqs8E0JOfsCTfO8m+vJYqeUEBYZjqnGjI3oJpfNAC9wruYQ83BEl8C8c2SaDnd8pUz4kDgq1K
zJYTxQzaX++Hu7pQj6rntT+amX0SmV8RVS8YwdXZ9zhz3E1dwCcDmNLslZZ/j5vl0U/G3SIgZqrW
OnAkOND0z0C3LB8D8nPhcU43x+XWm5Gd0Ss0iNLRvvYOnlzP+CNS6jc7DCfb1dKt+56JMuLnp2Lx
CCGzmcgdlonBB+WEYmdzWtOlyWQd/vmmUSj/UpMGnMx4TwE1A/L964mxN+eMBuVc00qVwF6gcTZ/
2jA/nqSf696AcZFp4/7DQUbu0s/fJ0u7QpS6Xh+aQLa7IVNmaMfL27rTZ4s17wVCs8K0D4FmXqc4
SCOvLk+aip+GPP/mY+XemJXs8R7l1kHmvMTTgN2pnSvc3Mn3xZ1IXoiz4lBa7gL2EE4iWZ/DTZm5
kfTbLz543I0LGfBoz9kclkzZNhjEgGeRw7YzezwguO3N/aiYEuhm9t2pWYJdVlykKk6Fk8whQisK
VGOi+jXaENRZFkpd3DW1mUa2tZz/cE9+88RyL+grwTrSSQIwf75gtdkK1cxVfTBKDgoyrbIwE9B9
TRrMFwNF3Qb1XL4tZ/9aIQMN46En8saoPomctUyoXqSRKLSbYkT/gpbAljbq85S31hZ1Cw016V5j
JnzhGDvXlKnr1unZiVq6elv0oY+6Ob0tg77JvOyeVh5VVccX7jUFu0d/nCnENm2ctnurBG/QTneJ
466SU9Yng8V1MiWnTUAS4LaK4cqawDGDFjrkP1+k3zwkvDPW/1tNmOavTaAp6bxSTLI+gJvdUuLQ
h5z4OLY+buI2+cMdgWT19+fE5y3MtoZqZlUr/XxL1sRf2i1jjQtzqGEqDQCg4/wU86YKDO7PgiwO
gAMHJEmQ7YZw2OcsKek/UwCOTewi3gzakKjCLgrcpSKkFd91PfvfMGncaNL/VAZwONKAal/VjYUz
bHir8uVOlfMZqiYvY5ZZYhWv8bRWqVBO8kW/dCMuKdVA+s1EJNFJ7gS39ON4Cc7F2mYOfzCAcOBq
gr/RTnLXxqPYlLh/QGuq249DUFyD0p4ECiCAtQ+Z4CDp4yYBtMFRz1mmh14kTC9swncsiSrQuGWY
frIsqjXDG7e0W+ft+g9axX8Ty3VBtqMEwASzc32MBuVcG296cJP1AOHAWPZdcLhlR7Wkx/lFdTj+
vJY/3WvOc5c7PGLkuN8EjnrrhdhOdPhxXGeXzELcEChKcRo0z2R1obWwEbY3WCXr6qRJNMgr0rtn
HrwRojxxKN5XMW+WLJEsTJ4OdxIXdItf0wFMfWE4V0mYFA6VOVwPRojKQX9gzztjw7+Wwn42e8C4
f1i5v3m8qXWA+ugOLcy/2eJL4k87JqbVYfDmt3qQd8h+r9QXXDwQo9u1/vo4ajciAECOTRsNFs98
neLSngZ8PDl/rassIB01AKUi2PqytzyY2gmjf9Ovo0CN86FcMaIyKypk74iNcXMmb6iuggtTsnS7
JLwXBeidm5q9PFw80so09phczI/SotzSe6sNXZ1MCZWIgjxNKuuEg2GrzqnVcENQzh29nAwnRD2b
3lzZQBxJg7G8yHG8sx2EK2RNKoLIC3yyE/bgdEKVhR+tMjT61s385g5Lu+uZB3mcDg5F5l4lLxEO
meOD5dLNp5oX3n++X/+nw/aHDptF95O1+P/Xej78pV6HH1tr//4b/26tBWtAzSrHNICswI5YYaP/
ZloYuvsvFwGnp/u84v2PgJr/J/G06cSZHu1fzjAcLf5L4mk6/6IvjF0faahPwUOv7r/RYMMTv74Y
f6g02Jod2u6Bh/MZSRS/6+ddWheaht0N0t2EreFJajYRreX85iuzvC5MbaJUI35MUePceZN/YRCA
Zl/m3X3baPeM4IbTCNgcWKC3XOxm1I5zbLkxSd55eguBTHsdvTWS1W10UPM+ud8bLEHJcFszB7Y+
23ZWmOTc16XhHQlC9M0rnRG9+TIwkx+BK8Dss/ZtIdr24rc9kosQK+ZCbhvUTlGB1YqLnNBz8rs8
uWkREXVfSh/RCO82dEbGKQ2Ua9LUiAMRealuD7u0tM32JLBAl4gW6gI1Fyz7GeFXxtvDOHnNbD7a
czJ0vJ04VgOFANbr79mfCPobs8bBtQtJ2csf4lnTRsmOXshumzJJec3r2H9PCMFAJ2sODHiiPm10
SVOMma1+z2aZt1vBRxj2BS+hMxLflWOHX/0c58Yi8Q5iMthJ7CQyWhoOW1vwBQcs9+2LqjMB+6+2
xAHwvB9NGBZfYArYG2aiKSjz7D7BZ8HNGvNLZ9bNITenx7zJrH0uJuDNcLwPcLuYD3ZVkj5lKkO7
Nsvs6Pnq0tj9OZ3G8QnOVU2y73BrVSplXCgDEq8T902oeIKjP72gFqCRgumhUIRhqOJRSQGhLTBy
IhLtb0lG+qIVF+P94o+4chet2o9cUqrzZp0tTvvBS72db9Z7MwiA12WPbml+R0stzguu8g141uuS
dl5YjeKlqYYTWbz1ATxgu2VuSgBzZW6GGfZ925K5QbziLfjwhrjD4nFV7m7HXmuiopJ/kbHgXip3
iW+noHE3ONs02H1ruWXF22Iei70tbeRKeJHN3HK3Uso1m5o2qT0hzgfg1l98gfHXo9Nw9Jos29Vq
cTajlhBYzzjkWzaacl9JJ/sGgE2dFPltUds52l3SzvYGw/hfmGaaT44m7h2RAfGv5nKPogcQYdZm
B2IBkCVnurvBuMJQBYzaTviOfWRfSHc90+wd0DE7dFIt2Et3+ouQxOooUjq8MXvHhoojq8mPy741
Fmoj6YCdYtySbLDqDltmaRWkFoGEgdxzIFuyjBhpIZY11YPh1NidS3J0yvi4LDWi6oFSxBHak0MS
58YqVH5KO5rcGr3Q79bo9F/HxQuBVaP0mexiM8jOtUE96MVNJYvx7LqCJ37s/W6LoEijTety8pdI
2Qmy9HwdG04uFxJW6aEdwEyNd4AbJ+++tIv21tWxz9OiorfZ0kTa8bb0oxUJOoQG4Z4Pg1sJAPHG
kuwJPDSpupK+CmkA89tYWEybKPLexrKzQj2W8pZukxFKaPfg/GWJX0mp+b0jnQJJkGfPJ5wqyGME
xLxgL1haKtRmV1dhx6ddfXaT+G6gsCWJY4rbnavGMf0+5wP6X3IMO5xfetdOV6re4WVwWC2w6Wxc
3NDT9XNaBxWde78N004z97pJG64rePHPOazItGGXwMgbNnqiRY5FPIYFNXKDWMWK4mAp96Ao0F36
y7NibPlIYp26lrn2yiP1ZC6ZDhaR1NKqEydAcPY117GsE7Gdn2ste48Hv99mZps9Vn1eNhu8jNmF
Uk2C7cBzteXEQylaxV+60ix88jys4KbFUX8yAkHD0JI3cszaOwYy2n1hD96rWTnZlsSLLlyqoM9p
96c8xpMyCcVFZbmby1m/uPHcRCIWwzYRQlzLgQAafg6+RE2f9/361K78NnRTaO3iDhGoBqcQbqa8
LVPqrGweDpOhpyb4ScJSO39B/QK8GZzb/ALzzaFxWAVvnCM+e8pOp81QYFe0fIFCPOdggNIyMi15
tEuDIJ2RLOONMFpBn8K2o1wT2nnGr4fQbDS2tb6gS24UJqbET3YxgakbEInXbPKLT4umy8ucgSmt
59GjTEfXpoacR8szx0jYZrKnc682+mT6YZDDW22Nfj9rCUdtS1yCkV2L4/nMvCFgJSKPOorCJqB0
6p1NYkx3I/kum8JvMETYVbHy7OAUKbXXCBQ99rqMQ2x7+gY2UPU2ww+IdDxx4WhoGmMseIx5xRhn
Q19weAiynERNohe2nV0G20F0x0ALUBho7XfVeV8qsnMjyATjTh9aVPEzsb2aTccZvkO6G2nbn7Si
e2dSeylBAZ4NVWKtnFAnlEQNfaI3AWdOcWNrfc53Uyb040K77aA5XgBDADsqwLgMwRXaLc3nO49F
XtJ2KNjvOvfrspD7WNM7jdJCfCVdpzg7bYyKbgaREltYtto5B45RymE/ZDaE1KL4jusq2Kl2+Zq0
/NRiIQGFoZ8TX+KGgTx6FbZ+dMzfVmYRASKiv41Jpw5TMEbXyfYlL3dy7F09wfLlfG+D7i+yJspd
6VAwSGU/VTgByZkcusfS50ctvY0ZZVTie48KOcwH5m82m+jGG6b0Fi9K/jkwm/ao++ZyIwvmXpNX
fB2rWN+ymTbs2pl8IveCF4aw7rMMlopM0H7liuHa6GblNzypJr7ZuTmOduXuciCfYR1o9Y6DVXXD
EX2Ffi92KK3525DGM0dh1wMayGcgW7mI9KDzHwfdXG4La4BjUi9Es8HfGGGDTEXLx5cAFV547Atx
EVPtP3Sew9+19Pket/HRxS4TcoBJPo9DOd06hIW8eLl777juFBLUerXNZjhYo59AsEzzloZyzIUG
A2l/CUAYEHCK+msWfmQvsWuGa2gnd1oiuibKG28uOmQjTBrz3alV7Wxn7vPGbI3mkzQWcdAX5R08
5fhfp2LQXzAzvuVtLD4tuqXlkZSpPOStsD45lSsjY8nJycYpLeTGIQ8pQM4KP9pxWBF6dYdK2rmj
n046C7umRolhtkSk2EP5fegtYsR5UBPuKW36VTzYu/u2NRwemZpO5qEfgoUMKAxaW3gj98z/xpB2
6g1wrPx5IDPwW510J5Dt8UJjO03CLrHe4Uc497WbmW9GkmsVMU1uUCASHNWxRRzTbbKCDNktaBX1
ppPvu22bcbhfph5nOZvnBWsKKT61e7u49TnG2wgbmNeBOnCYI4BZutJ7jxOvCmkze58C4WRPAHFt
0LiZs+2rqYwcCGB0mdoFF2znVVEjrOaut2z4rJAvhyuuGGTVetw42EraEXFk74tqK9UALZRAyj2S
6HwXexNwZ8YYUcvnonnoantY1HG1pyOUPbGbFU+84sbnclL6fZELsq0REB51Z6LijTv31NUSUWtG
fxneMoPwx8TMGHVIbcZNvIBFoRHJA5HqOB1b0MYns4M2nFbKKDbKrkH+ykSPFn3oPwt4p0+6v4zv
Ds2Vgz80wbnJc/GJjI7+S2M5fcHz1+Ria3XutqgctHlUV3TEehKVc44PA2RUgx025Jw0BtslaC36
aMQWySjLeR7OgW9XVeTHpftlIoPefSakKlu2EpAe1Q/saB7EXglsrC7CGruw3atrFemL9CZEtgh7
78ulxnM04OO6lLXKXkBx1DsUrZW9rRZVHgEF61u824m/sfFI+fgrp+qJvLT4s+SPHlTF9opy4R4C
QE0R1o3f6qputlrqMQIVS3Lua0rSspYd5I9KVg/0K2iq6p65n/yqgPGPYnyuRLrFN1eGrbaUw8bp
Cc6ejJoEYNvpe6DVoJZz+hWY34zxpqqXEe9JXh9GMDO3ZmvF853v5X3zSSW4kLZBovTOLULYcxiw
3qs2XQ0IzINNkyAtys3MHxPEg91k3yPndckvp8BrfK8fDnmQVgGeLVzj51LZRDANuRGVS1v3sG5T
9lHGUIrSybUOInWdJ1w0jCqXKcHN0hc8i99QmMRbXcvj5CaTkqQrlnCfM/5JJmJByDIDPuBN7D4w
XG6kIFJ1BDNwpzrE9hV+8P3iuDCyBQTkburbY8+a3I7Cym7anMiy2By971Xf2G96DZEGszX2/L2q
2oehCOLsBTXLGFZ4qFBku+vkZFmcLU1u/y9cC8nBHStKcENAmO/AFz8u+aRHmcvuHAW4znaDOSyv
OoX1eZpbZB+cjxsPSDQU5PG0mLg82jZrCUi3q7tpMpzT0mZTaFZ2SyaYAX3ASCuiHAqamACXqA66
1YldSEBnfd5cbburtvgP7S8DVWQkFFk2mJnzKOFdR3HezZEyexGNpXfUSAffNhzc70SSBbu+0M1X
x1b2AcdEC9aGnQmekI/MtEn3WWJJwq6wWVoZEPENyR/TtzLQ5L407U+WSoN3kuI+ST4JKhRw4a1p
zgeIqx2l1JjcMPb2Fd5Pe4pYN92uDZQTdTNYDsRppY7QOUNJEFeYkUpe47HSiq8DNf1mNV0ctCy2
thrCvbCe3BqWZSmGEEPgjE/dsnZkTyPYCDztk7CW+a6d0sOoivKiEKDhXq4tcsAmrYzKOU3/alvX
vsRxlrHRdgmSQVgOxcDGP5KOPZcpNKEex1uPyIGXzjR/ToUeXKVKcF/XaKsLN3MiNNFsmEPTnDLd
uPX9Clz1ADosHNvkdfDqnJxvcF4Udp1/LSDcoURFLm6UMRiwMrBePgIMAEwgLK2ytILONbx0lkeQ
oPT3tqMM4t9b+a4rXqw+qp/jjIeW6zcSFCYdMdKsTspwLsDc514CbmQh2Cyw0gh0HZKVWj3j5zun
Cbk/SwdjoXwecrmut1FvIshuoByUZUXuavpjThmfUJs4r9DCYsh8OimW1mzgI6hVXkY9IARg9aq7
Adtcs1oGD1TSGgbQ29lNmSTFLf0HXd+OZKP7kWx1eR0E9Tb2OHPbre0f5Q/tMei6Em66BEqY+/pf
U80RLRe5PFS2GLeT1pmfAbbTEWj7N5EqcfKgoW8g8+EpacZtms7Q21u34wWsMY73Kvl5gYiEOan7
xnmNUmyuaRrbS14d67GVRZgwO36SIoYXIqeLhWbwkVLqIdO6LvRw35xT15rCTi0Ujk0KaWXp0EyP
Wr+t5fg1MDrkUrNFuJL5WGtsebm0oTa5uO4mx/KfUmUQ4NX19TbQfcmgMnYeljUo0CEB6fx/uTuz
3raRLAr/lWDeaXBfBugGRosly7ud2O1+ERhZISmKi7iTv34+asmYdpzuDvVgDJGHQJKLxWItdznn
3LB2LzwhfMpiI6UysXuf6NI3FDux/2qso9CJUcuI5CeFWjlnShGqzykEgJHokBWPheChAmr6LY4D
oTlFKF/PBkQ9ML6rOEe+RQ/uzDoToQI6K2mUxSZFQalDCUK+KACcWHV5BxOpiQgfz+eEnbKyPNVS
8nAY/4GEj1NpEz9XrLuQDYu0kqJFOo83N3KEkd0MBX7WgC76yUwOMSUbz6lwdeYjXlWMXj+pgutC
VzGsJR/yK6JunjSAX0SJUdS2pHSci258BVjQPOM/fOWH5jfZke9QpmPzgP8ys9BUm9UahytCK4u5
D2Vw4gs+EFU9VweGAbZaW1ezxjPgH4nSQ8KRhPJBButYbmOBcegA3ckN+HeURWRNYOV5ktamvVSI
STJbgl4lRTldRfnUKDaUB21mpMnFIWBh8cynGt3cSrF11tqG+qTGLJaK7BSQvDE2fH09izXCfxtL
TIchpv4Qy5RCpermInGKW9jSz2LgMePntUbQP7zdqHE4IjBjnIUqGvOGkLkTfBcCiBSxuC5l9dGD
7nSezYUYeT+dHPdaCSeuGDtwRgJpWoGoHiVanp6F5HyIXGQR0FeIKeRlb3NBJAw3L72hG9V/+o5E
5CyrlVPDTwAsZsrXuVZI99QuRaSuqssEPERULrXUKO7Z+9DV1DW0UNCUmyUbglGitBoiMQZNODEF
4iyeR5VC0fenlh5eqtk6Hc4bRQUg5KFpOzbADRiDlej6M3RfhpLVoKHo1bGdSlH01AISghEyEc2C
ol+woqTaF+xID5JrQ1xTnoMDD7F1MC6QUqg1Zvi4SKB8Vu4IyZZZIqjOWAnq+it2FkvLiQPbW0nm
dVQqCK1nbr4QPP2bk0g1REFXSGcbwtC3TaWiAYgWbziMPbH8YlZafiPLrtpctfACCPxGEE2IggaQ
WDIlpkwCqCcp8qAP6b5XjWLZQ7nFa+r41IvJoqjiXLiSSO4WQ43DYOrNi8+1o33BQtDuqZIbIYhU
Z1PWQT3Wk1TCuTIfSlNnh3dD+d6BbTuEhnsNiXlOzTUAcfClzCGgftkbrXHShfNSxqi5WIeEVjeo
kJ5jQ2TVqQMVB9Slp+fQE9l/BnomxquJMyevSpBoDVuKWBg2TaBLgxDnBvOujGI4SHqUPCSxujmH
3GXCVI8MC7kSkRhfDVV6WLMvPOkRCu5XpaeJnwsa0EfmJm8ec1AByJ0bc4JGBKghVKKBeankcX5h
MHsgpMZlRjYu9C6aOI5h3xLgGWRJ7mAx1STEJDlDJDFBYWEYsMs8weIx/lQTF+S7n6+yaUzt4MFG
qDYYraZqIm4kUPUFBH11D9Obcoeh6Meg9WrR5E0I1sNaTuE3uc4KASZqO1YjYmr1Xe2DA4BEFHjj
BpodTNsUx7uSOaIxQYN4VCjxtxLzekyK4LYWMOsb6k3OYl/PRlqclxNoq5vbyinkx9UKCxytGjbs
JtGkG0pwwtRabwrzLgXaicWbONHNuhGKRwFk7ExxN8RlWomIy6QWskc/FsQrMSjriRyTHsd5TZXb
FFTXnUXR2GCQSHPrnOIr8leIDv4sS83iXpbbTG0l56zSKGRbHVBcOoRknyIriKTiikVZAhEd5SVR
wYGCvPzqigh/xnliJVS9QSu71k4zvdR408FqPM8SZ4WGQXrTOCnCOnody2OFMNRnsTGc2UplqwzX
SByu40B6mktU9eKkgChMpCMBcGB5DqK/3uYx17XotBQ4dZ1I5TBjSo1wdryx6KSrSUytYdhTSXCe
zCvjrCjFbBynun9BVcEQnUbgMxcRefcv6FZlFbssNAL0v1C0TdQ520km3Mb+Jr4C72FOA1dyxmnR
xBNAsOpQiX1miZCQDTaBJ/1B9BbqKgJGn0Xsu4sk2pSneYb1TzjTIEojQEN3VwV1GByoh+Qyhk6c
Bpd5Zi2EQoIzJwXzqe5qGbV1G+kSnAtlFVagQ7yNcgZf2bwBTFxRz0IryMUb4DLQAx6pSF8xaSxj
SLw5maWw1i4RCvIvoDN8Dc1KGhdzMHcrs7adOnCHsgrDeW6uCCtKcwpBbpL6QfCU+amRSO44lhuE
wJnoE7eI02GR1PIZ8gTEbCI/pFCGZTYjV6mkETAxg6IzoAwEsUmePPA/Q1wF1DOTCqiMIaX5jWlE
xIElVBdGoSYX67tKc71R7XLYrDQ/ovYtFXIuBGMzKjXSN8RYJSyNyD2VfDAQVtRcaX7D5+L8NlWq
+rqE8DWQC//BSuU/FIfNWhPCsQeqYUSkxLZCcNFUZvVGZek6I6jlFMcEB3UqU31uSrWEieqs7hoT
4mekIqhpgfBB8Ky5VlxPGaxXm8c43axuKIw3RbRyimGVTQo00P4UKtIgsiL8oVDW8FRssJAr0AuT
GFmmQWXmdmCtNrdlvrlFUWVdDyjVydEutY6guxauEbavh3MRudZNKMoXQD6fqQSSX7aSvRQ4ocaQ
RxqMQA+IYPTS8oETVBdFHFdgxjf/ZxJF+/x7y9tAq87L6tt8mdR3SwjmWXrI67bf3kRemH0m1vor
P/p5Q3tayC4RvojyMGt7QJYufJnWJtz7Kg2+7dK2vz9rYW3T4/x5+du/FItUOBriVE8A3M8FFnKN
8s7+a8Gidp6EYCZcjy1Gydrd8MUQvTcIP3++3Wj+/DedJ7ARHQqph0lF40X2cgwUBUTo3xuFV228
GAXy9yTZ8SrIK7cX+fiXo2DqJ+BbZFhf+u57Rgn0wQcaBUq46q/lr96ZC++OgiqfYHjIqkLdw+31
ai4Y2gnMM7A+ZLi2F1C2jzUK0AVbkmUHGPKPRwGRLxAcLfRi95Sgf1/OBYI9JzquP8nR3bT7SLNA
5eX0fX6FWQCBrOWd7a5Xzy+jsYtQKzJYH+71I2fCyu31+mXzBLJvCzHfPz3Qm5ev35RPVBPIkAwD
7rBIPtYiALCu9p4ExonKG9YME03g9gLr9HIU4FYwCaCOwOXYjsLHmwv0jZXbay6o4glob4IqIBC2
1+tjwYJTyUJpi7Tsro+2IhSEDv6mifD+scB+p6AVpeji96d8ORdM68RA6gsY6IddEaou786qRfVv
Zxl9t93eGkrvjgKGEkR0yi/J2g/ngiRJJ0jey7LcSj9+rB2BV8Mu1mspKMYJkEQd4XRr9/gs+JeT
QJIs6iYjJiEdjs2PNghws3rPAfPEsihzAPjzx4MgaieQJFtz+aM9vaxg5fedAywB9nxVU/YbwRvL
COysRqDe2JvR/+BQ+BtG1HfXa+h66+et0+Ut0x/5Zu/94OBuvP1+72psWfj4VJ0ftj7Y7t7L70K0
v3f2ia0j8OLLg2Owvc/+z/cP+PbWnXsdnurw4dRbJjYFSOrtF/W+m1d2gOv2n7X91Q7sl74QZzEz
7389+e1fnX6+eP9/0XDqv2q3VZvo3S5FC6Ku9C4JSmZl/4Z9O0y7iG+EDph+fVse2muo60nodYZj
t5/2bjtaR4n93Klmsduk+rcchstF5i3yjqcML44V27fx0XJtl3ayPLTUrhnkII4w2Afv/lP07RMw
pzz42h12CFJHmIUU7Um85877lHZ+Q9+RmSyjxOl2ueUgY3/1bXnKiHveoZ12xGGntsLUfRs+e7bd
zgTce9C920UyIoy89NDDbZd3FnnvpsNnFBa670+FqHG41S5k9iv73llUvmrWMvF7+nb4/O3eBH30
COvlnJ7lC78+dHE7yK1Pdvjg14fiIqLg2JthhvJ6hOPlEt2yzu7R1oI9Qp8vbUSvXkvqiDjr/Yfj
0k5Te+Hm6TLLOnNaFjX1GEPiLVzPsbuxXUzqI6zwS4+zgORIZ2bLWOlHWDBoGqbtPyBUhzFu56As
IZF1+ODX52DbekQu79DSvumjdJySx6/2EFmCt3W41a93+mr5NbFfWU8wFfWjNF3Y3XNrb9T33aCu
luWnqY16uOt1j3XabwM/x2h/tkzSZX1oa/sqgc0dqfHLZeUtOscY4fA2EniMnj9FiX9oad/vNsba
u+m/LEfx3dn4NSt+V+9iZPuv176it+IIffv/Xh22nr2+9tdYJF2vRiY1c4RN9jpZomR9ePLtq9yF
y/sOxc2SNH29LuxXboKs6W2Rs77N/5VcXM8Rv4/yzP30o7oosGylI5zLuxu8nYht80fwRz4z+ss0
XXZMin1SsO/Qv8sj7jnmXzLbPUyMdiJC7m8DlH27+7BMAk62Q0PbljmKj7ARPnh4Nq+mt0JE+Agb
yaPNuRM6WXdp7pMYfUfkcZlmn37YeTKZR5h8j166iCiG2tlW9kH33n2vI1LeTudt6kh2HT54z0j5
UaTpe676bfzpkIn/0Z91g2vtLxbrpZ38/l8AAAD//w==</cx:binary>
              </cx:geoCache>
            </cx:geography>
          </cx:layoutPr>
          <cx:valueColors>
            <cx:minColor>
              <a:schemeClr val="accent5">
                <a:lumMod val="20000"/>
                <a:lumOff val="80000"/>
              </a:schemeClr>
            </cx:minColor>
            <cx:midColor>
              <a:schemeClr val="accent5">
                <a:lumMod val="60000"/>
                <a:lumOff val="40000"/>
              </a:schemeClr>
            </cx:midColor>
            <cx:maxColor>
              <a:schemeClr val="accent5">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sz="2000">
              <a:solidFill>
                <a:schemeClr val="bg1">
                  <a:lumMod val="50000"/>
                </a:schemeClr>
              </a:solidFill>
              <a:latin typeface="Garamond" panose="02020404030301010803" pitchFamily="18" charset="0"/>
              <a:ea typeface="Garamond" panose="02020404030301010803" pitchFamily="18" charset="0"/>
              <a:cs typeface="Garamond" panose="02020404030301010803" pitchFamily="18" charset="0"/>
            </a:defRPr>
          </a:pPr>
          <a:endParaRPr lang="en-US" sz="2000" b="0" i="0" u="none" strike="noStrike" baseline="0">
            <a:solidFill>
              <a:schemeClr val="bg1">
                <a:lumMod val="50000"/>
              </a:schemeClr>
            </a:solidFill>
            <a:latin typeface="Garamond" panose="02020404030301010803" pitchFamily="18"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11.xml"/><Relationship Id="rId21" Type="http://schemas.openxmlformats.org/officeDocument/2006/relationships/image" Target="../media/image14.svg"/><Relationship Id="rId7" Type="http://schemas.microsoft.com/office/2014/relationships/chartEx" Target="../charts/chartEx2.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10.xml"/><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4.svg"/><Relationship Id="rId24" Type="http://schemas.openxmlformats.org/officeDocument/2006/relationships/chart" Target="../charts/chart15.xml"/><Relationship Id="rId5" Type="http://schemas.openxmlformats.org/officeDocument/2006/relationships/chart" Target="../charts/chart13.xml"/><Relationship Id="rId15" Type="http://schemas.openxmlformats.org/officeDocument/2006/relationships/image" Target="../media/image8.svg"/><Relationship Id="rId23" Type="http://schemas.openxmlformats.org/officeDocument/2006/relationships/image" Target="../media/image16.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12.xml"/><Relationship Id="rId9" Type="http://schemas.openxmlformats.org/officeDocument/2006/relationships/image" Target="../media/image2.svg"/><Relationship Id="rId14" Type="http://schemas.openxmlformats.org/officeDocument/2006/relationships/image" Target="../media/image7.png"/><Relationship Id="rId22"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171450</xdr:rowOff>
    </xdr:from>
    <xdr:to>
      <xdr:col>14</xdr:col>
      <xdr:colOff>114300</xdr:colOff>
      <xdr:row>31</xdr:row>
      <xdr:rowOff>19050</xdr:rowOff>
    </xdr:to>
    <xdr:sp macro="" textlink="">
      <xdr:nvSpPr>
        <xdr:cNvPr id="2" name="Rectangle: Rounded Corners 1">
          <a:extLst>
            <a:ext uri="{FF2B5EF4-FFF2-40B4-BE49-F238E27FC236}">
              <a16:creationId xmlns:a16="http://schemas.microsoft.com/office/drawing/2014/main" id="{DF1146B1-194F-43C3-9C77-83C92F71BF90}"/>
            </a:ext>
          </a:extLst>
        </xdr:cNvPr>
        <xdr:cNvSpPr/>
      </xdr:nvSpPr>
      <xdr:spPr>
        <a:xfrm>
          <a:off x="133350" y="171450"/>
          <a:ext cx="8515350" cy="5753100"/>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a:p>
          <a:pPr algn="l"/>
          <a:endParaRPr lang="en-US" sz="1400" b="1" i="0" u="none" strike="noStrike">
            <a:solidFill>
              <a:schemeClr val="lt1"/>
            </a:solidFill>
            <a:effectLst/>
            <a:latin typeface="Garamond" panose="02020404030301010803" pitchFamily="18" charset="0"/>
            <a:ea typeface="+mn-ea"/>
            <a:cs typeface="+mn-cs"/>
          </a:endParaRPr>
        </a:p>
      </xdr:txBody>
    </xdr:sp>
    <xdr:clientData/>
  </xdr:twoCellAnchor>
  <xdr:twoCellAnchor>
    <xdr:from>
      <xdr:col>15</xdr:col>
      <xdr:colOff>14886</xdr:colOff>
      <xdr:row>0</xdr:row>
      <xdr:rowOff>167282</xdr:rowOff>
    </xdr:from>
    <xdr:to>
      <xdr:col>28</xdr:col>
      <xdr:colOff>605436</xdr:colOff>
      <xdr:row>31</xdr:row>
      <xdr:rowOff>14882</xdr:rowOff>
    </xdr:to>
    <xdr:sp macro="" textlink="">
      <xdr:nvSpPr>
        <xdr:cNvPr id="3" name="Rectangle: Rounded Corners 2">
          <a:extLst>
            <a:ext uri="{FF2B5EF4-FFF2-40B4-BE49-F238E27FC236}">
              <a16:creationId xmlns:a16="http://schemas.microsoft.com/office/drawing/2014/main" id="{152681CF-E201-44AD-BF71-93481D0E5697}"/>
            </a:ext>
          </a:extLst>
        </xdr:cNvPr>
        <xdr:cNvSpPr/>
      </xdr:nvSpPr>
      <xdr:spPr>
        <a:xfrm>
          <a:off x="9167816" y="167282"/>
          <a:ext cx="8523089" cy="584537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i="0">
              <a:solidFill>
                <a:schemeClr val="tx2"/>
              </a:solidFill>
              <a:latin typeface="Garamond" panose="02020404030301010803" pitchFamily="18" charset="0"/>
            </a:rPr>
            <a:t>POTENTIAL ANALYSIS/QUESTIONS</a:t>
          </a:r>
        </a:p>
        <a:p>
          <a:pPr algn="l"/>
          <a:r>
            <a:rPr lang="en-US" sz="1400" i="0">
              <a:solidFill>
                <a:schemeClr val="tx2"/>
              </a:solidFill>
              <a:latin typeface="Garamond" panose="02020404030301010803" pitchFamily="18" charset="0"/>
            </a:rPr>
            <a:t>1. </a:t>
          </a:r>
          <a:r>
            <a:rPr lang="en-US" sz="1400" i="0" baseline="0">
              <a:solidFill>
                <a:schemeClr val="tx2"/>
              </a:solidFill>
              <a:latin typeface="Garamond" panose="02020404030301010803" pitchFamily="18" charset="0"/>
            </a:rPr>
            <a:t>  Overall Sales Performance: What is the total revenue, total quantity sold, and total shipping fees for the entire period?</a:t>
          </a:r>
        </a:p>
        <a:p>
          <a:pPr algn="l"/>
          <a:r>
            <a:rPr lang="en-US" sz="1400" i="0" baseline="0">
              <a:solidFill>
                <a:schemeClr val="tx2"/>
              </a:solidFill>
              <a:latin typeface="Garamond" panose="02020404030301010803" pitchFamily="18" charset="0"/>
            </a:rPr>
            <a:t>2.   Top Products/Categories by Revenue?</a:t>
          </a:r>
        </a:p>
        <a:p>
          <a:pPr algn="l"/>
          <a:r>
            <a:rPr lang="en-US" sz="1400" i="0" baseline="0">
              <a:solidFill>
                <a:schemeClr val="tx2"/>
              </a:solidFill>
              <a:latin typeface="Garamond" panose="02020404030301010803" pitchFamily="18" charset="0"/>
            </a:rPr>
            <a:t>3.   Least Products/Categories by profit?</a:t>
          </a:r>
        </a:p>
        <a:p>
          <a:pPr algn="l"/>
          <a:r>
            <a:rPr lang="en-US" sz="1400" i="0" baseline="0">
              <a:solidFill>
                <a:schemeClr val="tx2"/>
              </a:solidFill>
              <a:latin typeface="Garamond" panose="02020404030301010803" pitchFamily="18" charset="0"/>
            </a:rPr>
            <a:t>4.   Sales Trends Over Time: Seasonal changes in Revenue </a:t>
          </a:r>
        </a:p>
        <a:p>
          <a:pPr algn="l"/>
          <a:r>
            <a:rPr lang="en-US" sz="1400" i="0" baseline="0">
              <a:solidFill>
                <a:schemeClr val="tx2"/>
              </a:solidFill>
              <a:latin typeface="Garamond" panose="02020404030301010803" pitchFamily="18" charset="0"/>
            </a:rPr>
            <a:t>5.   Average Revenue per Location</a:t>
          </a:r>
        </a:p>
        <a:p>
          <a:pPr algn="l"/>
          <a:r>
            <a:rPr lang="en-US" sz="1400" i="0" baseline="0">
              <a:solidFill>
                <a:schemeClr val="tx2"/>
              </a:solidFill>
              <a:latin typeface="Garamond" panose="02020404030301010803" pitchFamily="18" charset="0"/>
            </a:rPr>
            <a:t>6.   How does this vary by Region or Payment Type?</a:t>
          </a:r>
        </a:p>
        <a:p>
          <a:pPr algn="l"/>
          <a:r>
            <a:rPr lang="en-US" sz="1400" i="0" baseline="0">
              <a:solidFill>
                <a:schemeClr val="tx2"/>
              </a:solidFill>
              <a:latin typeface="Garamond" panose="02020404030301010803" pitchFamily="18" charset="0"/>
            </a:rPr>
            <a:t>7.   Profitability by Product/Category.</a:t>
          </a:r>
        </a:p>
        <a:p>
          <a:pPr algn="l"/>
          <a:r>
            <a:rPr lang="en-US" sz="1400" i="0" baseline="0">
              <a:solidFill>
                <a:schemeClr val="tx2"/>
              </a:solidFill>
              <a:latin typeface="Garamond" panose="02020404030301010803" pitchFamily="18" charset="0"/>
            </a:rPr>
            <a:t>8.   Salesperson Performance by Revenue</a:t>
          </a:r>
        </a:p>
        <a:p>
          <a:pPr algn="l"/>
          <a:r>
            <a:rPr lang="en-US" sz="1400" i="0" baseline="0">
              <a:solidFill>
                <a:schemeClr val="tx2"/>
              </a:solidFill>
              <a:latin typeface="Garamond" panose="02020404030301010803" pitchFamily="18" charset="0"/>
            </a:rPr>
            <a:t>9.   Top Customers by total Revenue </a:t>
          </a:r>
        </a:p>
        <a:p>
          <a:pPr algn="l"/>
          <a:r>
            <a:rPr lang="en-US" sz="1400" i="0" baseline="0">
              <a:solidFill>
                <a:schemeClr val="tx2"/>
              </a:solidFill>
              <a:latin typeface="Garamond" panose="02020404030301010803" pitchFamily="18" charset="0"/>
            </a:rPr>
            <a:t>10. Top Customers by Quantity purchased?</a:t>
          </a:r>
        </a:p>
        <a:p>
          <a:pPr algn="l"/>
          <a:r>
            <a:rPr lang="en-US" sz="1400" i="0" baseline="0">
              <a:solidFill>
                <a:schemeClr val="tx2"/>
              </a:solidFill>
              <a:latin typeface="Garamond" panose="02020404030301010803" pitchFamily="18" charset="0"/>
            </a:rPr>
            <a:t>11.  Revenue correlation with shipping fee </a:t>
          </a:r>
        </a:p>
        <a:p>
          <a:pPr algn="l"/>
          <a:r>
            <a:rPr lang="en-US" sz="1400" i="0" baseline="0">
              <a:solidFill>
                <a:schemeClr val="tx2"/>
              </a:solidFill>
              <a:latin typeface="Garamond" panose="02020404030301010803" pitchFamily="18" charset="0"/>
            </a:rPr>
            <a:t>12.  Shipping Efficiency: average time between Order Date and Shipped Date</a:t>
          </a:r>
        </a:p>
        <a:p>
          <a:pPr algn="l"/>
          <a:r>
            <a:rPr lang="en-US" sz="1400" i="0" baseline="0">
              <a:solidFill>
                <a:schemeClr val="tx2"/>
              </a:solidFill>
              <a:latin typeface="Garamond" panose="02020404030301010803" pitchFamily="18" charset="0"/>
            </a:rPr>
            <a:t>13.  Shipping Cost Analysis: Shipping Fee correlation to Quantity</a:t>
          </a:r>
        </a:p>
        <a:p>
          <a:pPr algn="l"/>
          <a:r>
            <a:rPr lang="en-US" sz="1400" i="0" baseline="0">
              <a:solidFill>
                <a:schemeClr val="tx2"/>
              </a:solidFill>
              <a:latin typeface="Garamond" panose="02020404030301010803" pitchFamily="18" charset="0"/>
            </a:rPr>
            <a:t>14.  Payment Method Preferences by Customer or Sales person</a:t>
          </a:r>
        </a:p>
        <a:p>
          <a:r>
            <a:rPr lang="en-US" sz="1400" i="0" baseline="0">
              <a:solidFill>
                <a:schemeClr val="tx2"/>
              </a:solidFill>
              <a:latin typeface="Garamond" panose="02020404030301010803" pitchFamily="18" charset="0"/>
            </a:rPr>
            <a:t>15.  </a:t>
          </a:r>
          <a:r>
            <a:rPr lang="en-US" sz="1400" b="0" i="0">
              <a:solidFill>
                <a:schemeClr val="tx2"/>
              </a:solidFill>
              <a:effectLst/>
              <a:latin typeface="Garamond" panose="02020404030301010803" pitchFamily="18" charset="0"/>
              <a:ea typeface="+mn-ea"/>
              <a:cs typeface="+mn-cs"/>
            </a:rPr>
            <a:t>Quantity</a:t>
          </a:r>
          <a:r>
            <a:rPr lang="en-US" sz="1400" b="0" i="0" baseline="0">
              <a:solidFill>
                <a:schemeClr val="tx2"/>
              </a:solidFill>
              <a:effectLst/>
              <a:latin typeface="Garamond" panose="02020404030301010803" pitchFamily="18" charset="0"/>
              <a:ea typeface="+mn-ea"/>
              <a:cs typeface="+mn-cs"/>
            </a:rPr>
            <a:t> over Time</a:t>
          </a:r>
        </a:p>
        <a:p>
          <a:r>
            <a:rPr lang="en-US" sz="1400" b="0" i="0" baseline="0">
              <a:solidFill>
                <a:schemeClr val="tx2"/>
              </a:solidFill>
              <a:effectLst/>
              <a:latin typeface="Garamond" panose="02020404030301010803" pitchFamily="18" charset="0"/>
              <a:ea typeface="+mn-ea"/>
              <a:cs typeface="+mn-cs"/>
            </a:rPr>
            <a:t>16.   State or Country performance by profit</a:t>
          </a:r>
        </a:p>
        <a:p>
          <a:r>
            <a:rPr lang="en-US" sz="1400" b="0" i="0" baseline="0">
              <a:solidFill>
                <a:schemeClr val="tx2"/>
              </a:solidFill>
              <a:effectLst/>
              <a:latin typeface="Garamond" panose="02020404030301010803" pitchFamily="18" charset="0"/>
              <a:ea typeface="+mn-ea"/>
              <a:cs typeface="+mn-cs"/>
            </a:rPr>
            <a:t>17.   Shipping fee trend over time</a:t>
          </a:r>
        </a:p>
        <a:p>
          <a:r>
            <a:rPr lang="en-US" sz="1400" b="0" i="0" baseline="0">
              <a:solidFill>
                <a:schemeClr val="tx2"/>
              </a:solidFill>
              <a:effectLst/>
              <a:latin typeface="Garamond" panose="02020404030301010803" pitchFamily="18" charset="0"/>
              <a:ea typeface="+mn-ea"/>
              <a:cs typeface="+mn-cs"/>
            </a:rPr>
            <a:t>18.   Shipper name used most in different locations</a:t>
          </a:r>
          <a:endParaRPr lang="en-US" sz="1400" b="0" i="0">
            <a:solidFill>
              <a:schemeClr val="tx2"/>
            </a:solidFill>
            <a:effectLst/>
            <a:latin typeface="Garamond" panose="02020404030301010803" pitchFamily="18" charset="0"/>
            <a:ea typeface="+mn-ea"/>
            <a:cs typeface="+mn-cs"/>
          </a:endParaRPr>
        </a:p>
      </xdr:txBody>
    </xdr:sp>
    <xdr:clientData/>
  </xdr:twoCellAnchor>
  <xdr:twoCellAnchor>
    <xdr:from>
      <xdr:col>15</xdr:col>
      <xdr:colOff>38094</xdr:colOff>
      <xdr:row>32</xdr:row>
      <xdr:rowOff>148236</xdr:rowOff>
    </xdr:from>
    <xdr:to>
      <xdr:col>29</xdr:col>
      <xdr:colOff>19044</xdr:colOff>
      <xdr:row>71</xdr:row>
      <xdr:rowOff>13414</xdr:rowOff>
    </xdr:to>
    <xdr:sp macro="" textlink="">
      <xdr:nvSpPr>
        <xdr:cNvPr id="5" name="Rectangle: Rounded Corners 4">
          <a:extLst>
            <a:ext uri="{FF2B5EF4-FFF2-40B4-BE49-F238E27FC236}">
              <a16:creationId xmlns:a16="http://schemas.microsoft.com/office/drawing/2014/main" id="{0FCF5544-2B54-4011-B32E-1853B11FD0E2}"/>
            </a:ext>
          </a:extLst>
        </xdr:cNvPr>
        <xdr:cNvSpPr/>
      </xdr:nvSpPr>
      <xdr:spPr>
        <a:xfrm>
          <a:off x="9093552" y="6158377"/>
          <a:ext cx="8432710" cy="7190037"/>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i="0" u="none" strike="noStrike">
              <a:solidFill>
                <a:schemeClr val="lt1"/>
              </a:solidFill>
              <a:effectLst/>
              <a:latin typeface="Garamond" panose="02020404030301010803" pitchFamily="18" charset="0"/>
              <a:ea typeface="+mn-ea"/>
              <a:cs typeface="+mn-cs"/>
            </a:rPr>
            <a:t>POTENTIAL</a:t>
          </a:r>
          <a:r>
            <a:rPr lang="en-US" sz="1600" b="1" i="0" u="none" strike="noStrike" baseline="0">
              <a:solidFill>
                <a:schemeClr val="lt1"/>
              </a:solidFill>
              <a:effectLst/>
              <a:latin typeface="Garamond" panose="02020404030301010803" pitchFamily="18" charset="0"/>
              <a:ea typeface="+mn-ea"/>
              <a:cs typeface="+mn-cs"/>
            </a:rPr>
            <a:t> INSIGHTS</a:t>
          </a:r>
        </a:p>
        <a:p>
          <a:r>
            <a:rPr lang="en-US" sz="1400" b="1" i="0" u="none" strike="noStrike" baseline="0">
              <a:solidFill>
                <a:schemeClr val="lt1"/>
              </a:solidFill>
              <a:effectLst/>
              <a:latin typeface="Garamond" panose="02020404030301010803" pitchFamily="18" charset="0"/>
              <a:ea typeface="+mn-ea"/>
              <a:cs typeface="+mn-cs"/>
            </a:rPr>
            <a:t>1.   </a:t>
          </a:r>
          <a:r>
            <a:rPr lang="en-US" sz="1400" b="0">
              <a:latin typeface="Garamond" panose="02020404030301010803" pitchFamily="18" charset="0"/>
            </a:rPr>
            <a:t>Identify Top Revenue-Generating Customers:</a:t>
          </a:r>
          <a:r>
            <a:rPr lang="en-US" sz="1400" b="0" baseline="0">
              <a:latin typeface="Garamond" panose="02020404030301010803" pitchFamily="18" charset="0"/>
            </a:rPr>
            <a:t> </a:t>
          </a:r>
          <a:r>
            <a:rPr lang="en-US" sz="1400" b="0">
              <a:latin typeface="Garamond" panose="02020404030301010803" pitchFamily="18" charset="0"/>
            </a:rPr>
            <a:t>Highlight customers who contribute the most to total revenue.</a:t>
          </a:r>
        </a:p>
        <a:p>
          <a:r>
            <a:rPr lang="en-US" sz="1400" b="0">
              <a:latin typeface="Garamond" panose="02020404030301010803" pitchFamily="18" charset="0"/>
            </a:rPr>
            <a:t>2.   Track Repeat Purchasers: Analyze customers who consistently make reoccurring purchases.</a:t>
          </a:r>
        </a:p>
        <a:p>
          <a:r>
            <a:rPr lang="en-US" sz="1400" b="0">
              <a:latin typeface="Garamond" panose="02020404030301010803" pitchFamily="18" charset="0"/>
            </a:rPr>
            <a:t>3.   Spot Top-Performing Salesperson by Revenue. Determine which salesperson has generated the highest total sales revenue. </a:t>
          </a:r>
        </a:p>
        <a:p>
          <a:r>
            <a:rPr lang="en-US" sz="1400" b="0">
              <a:latin typeface="Garamond" panose="02020404030301010803" pitchFamily="18" charset="0"/>
            </a:rPr>
            <a:t>4.   Identify Salesperson with Highest Sales Volume.</a:t>
          </a:r>
          <a:r>
            <a:rPr lang="en-US" sz="1400" b="0" baseline="0">
              <a:latin typeface="Garamond" panose="02020404030301010803" pitchFamily="18" charset="0"/>
            </a:rPr>
            <a:t> </a:t>
          </a:r>
          <a:r>
            <a:rPr lang="en-US" sz="1400" b="0">
              <a:latin typeface="Garamond" panose="02020404030301010803" pitchFamily="18" charset="0"/>
            </a:rPr>
            <a:t>Analyze who sells the largest quantity of products, regardless of revenue. </a:t>
          </a:r>
        </a:p>
        <a:p>
          <a:r>
            <a:rPr lang="en-US" sz="1400" b="0">
              <a:latin typeface="Garamond" panose="02020404030301010803" pitchFamily="18" charset="0"/>
            </a:rPr>
            <a:t>5.   Highlight High-Grossing Sales Regions.</a:t>
          </a:r>
          <a:r>
            <a:rPr lang="en-US" sz="1400" b="0" baseline="0">
              <a:latin typeface="Garamond" panose="02020404030301010803" pitchFamily="18" charset="0"/>
            </a:rPr>
            <a:t> </a:t>
          </a:r>
          <a:r>
            <a:rPr lang="en-US" sz="1400" b="0">
              <a:latin typeface="Garamond" panose="02020404030301010803" pitchFamily="18" charset="0"/>
            </a:rPr>
            <a:t>Pinpoint regions contributing the most to overall sales value. </a:t>
          </a:r>
        </a:p>
        <a:p>
          <a:r>
            <a:rPr lang="en-US" sz="1400" b="0">
              <a:latin typeface="Garamond" panose="02020404030301010803" pitchFamily="18" charset="0"/>
            </a:rPr>
            <a:t>6.   Evaluate Best Delivery and Pricing Strategies. Determine the most profitable delivery methods and pricing combinations.</a:t>
          </a:r>
        </a:p>
        <a:p>
          <a:r>
            <a:rPr lang="en-US" sz="1400" b="0">
              <a:latin typeface="Garamond" panose="02020404030301010803" pitchFamily="18" charset="0"/>
            </a:rPr>
            <a:t>7.   Analyze High-Performing Regions. Identify regions with consistently strong sales performance. </a:t>
          </a:r>
        </a:p>
        <a:p>
          <a:r>
            <a:rPr lang="en-US" sz="1400" b="0">
              <a:latin typeface="Garamond" panose="02020404030301010803" pitchFamily="18" charset="0"/>
            </a:rPr>
            <a:t>8.   Evaluate Revenue by Shipping Method.</a:t>
          </a:r>
          <a:r>
            <a:rPr lang="en-US" sz="1400" b="0" baseline="0">
              <a:latin typeface="Garamond" panose="02020404030301010803" pitchFamily="18" charset="0"/>
            </a:rPr>
            <a:t> </a:t>
          </a:r>
          <a:r>
            <a:rPr lang="en-US" sz="1400" b="0">
              <a:latin typeface="Garamond" panose="02020404030301010803" pitchFamily="18" charset="0"/>
            </a:rPr>
            <a:t>Find out which shipping methods are associated with high-revenue orders.</a:t>
          </a:r>
        </a:p>
        <a:p>
          <a:r>
            <a:rPr lang="en-US" sz="1400" b="0">
              <a:latin typeface="Garamond" panose="02020404030301010803" pitchFamily="18" charset="0"/>
            </a:rPr>
            <a:t>9 .  Discover Products Boosting Sales Performance. Identify products that drive success for top-performing salespeople.</a:t>
          </a:r>
        </a:p>
        <a:p>
          <a:r>
            <a:rPr lang="en-US" sz="1400" b="0">
              <a:latin typeface="Garamond" panose="02020404030301010803" pitchFamily="18" charset="0"/>
            </a:rPr>
            <a:t>10. Spot Cities with Fast-Growing Revenue. Monitor cities experiencing rapid growth in sales revenue.</a:t>
          </a:r>
        </a:p>
        <a:p>
          <a:r>
            <a:rPr lang="en-US" sz="1400" b="0">
              <a:latin typeface="Garamond" panose="02020404030301010803" pitchFamily="18" charset="0"/>
            </a:rPr>
            <a:t>11. Analyze Preferred Payment Methods. Determine which payment types are most favored by customers.</a:t>
          </a:r>
        </a:p>
        <a:p>
          <a:r>
            <a:rPr lang="en-US" sz="1400" b="0">
              <a:latin typeface="Garamond" panose="02020404030301010803" pitchFamily="18" charset="0"/>
            </a:rPr>
            <a:t>12. Identify Most Frequently Used Payment Types. Track the payment options most commonly selected by customers.</a:t>
          </a:r>
        </a:p>
        <a:p>
          <a:r>
            <a:rPr lang="en-US" sz="1400" b="0">
              <a:latin typeface="Garamond" panose="02020404030301010803" pitchFamily="18" charset="0"/>
            </a:rPr>
            <a:t>13.  Evaluate Most Efficient Shipping Methods. Highlight shipping options that balance speed, cost, and satisfaction effectively.</a:t>
          </a:r>
        </a:p>
        <a:p>
          <a:r>
            <a:rPr lang="en-US" sz="1400" b="0">
              <a:solidFill>
                <a:schemeClr val="lt1"/>
              </a:solidFill>
              <a:effectLst/>
              <a:latin typeface="Garamond" panose="02020404030301010803" pitchFamily="18" charset="0"/>
              <a:ea typeface="+mn-ea"/>
              <a:cs typeface="+mn-cs"/>
            </a:rPr>
            <a:t>14.  Track Regions with High Shipping Costs. Identify regions incurring the highest logistics or delivery charges.</a:t>
          </a:r>
          <a:endParaRPr lang="en-US" sz="1400">
            <a:effectLst/>
            <a:latin typeface="Garamond" panose="02020404030301010803" pitchFamily="18" charset="0"/>
          </a:endParaRPr>
        </a:p>
        <a:p>
          <a:r>
            <a:rPr lang="en-US" sz="1400" b="0">
              <a:solidFill>
                <a:schemeClr val="lt1"/>
              </a:solidFill>
              <a:effectLst/>
              <a:latin typeface="Garamond" panose="02020404030301010803" pitchFamily="18" charset="0"/>
              <a:ea typeface="+mn-ea"/>
              <a:cs typeface="+mn-cs"/>
            </a:rPr>
            <a:t>15.  Find High-Profit Products. Analyze which products contribute most significantly to profit margins.</a:t>
          </a:r>
          <a:endParaRPr lang="en-US" sz="1400">
            <a:effectLst/>
            <a:latin typeface="Garamond" panose="02020404030301010803" pitchFamily="18" charset="0"/>
          </a:endParaRPr>
        </a:p>
        <a:p>
          <a:r>
            <a:rPr lang="en-US" sz="1400" b="0">
              <a:solidFill>
                <a:schemeClr val="lt1"/>
              </a:solidFill>
              <a:effectLst/>
              <a:latin typeface="Garamond" panose="02020404030301010803" pitchFamily="18" charset="0"/>
              <a:ea typeface="+mn-ea"/>
              <a:cs typeface="+mn-cs"/>
            </a:rPr>
            <a:t>16.  Identify Top Performers by Product Category. Rank product categories based on their revenue or sales volume.</a:t>
          </a:r>
          <a:endParaRPr lang="en-US" sz="1400">
            <a:effectLst/>
            <a:latin typeface="Garamond" panose="02020404030301010803" pitchFamily="18" charset="0"/>
          </a:endParaRPr>
        </a:p>
        <a:p>
          <a:r>
            <a:rPr lang="en-US" sz="1400" b="0">
              <a:solidFill>
                <a:schemeClr val="lt1"/>
              </a:solidFill>
              <a:effectLst/>
              <a:latin typeface="Garamond" panose="02020404030301010803" pitchFamily="18" charset="0"/>
              <a:ea typeface="+mn-ea"/>
              <a:cs typeface="+mn-cs"/>
            </a:rPr>
            <a:t>17.  Map Regional Demand for Top-Selling Products. Discover which regions are buying the most of your best-selling items.</a:t>
          </a:r>
          <a:endParaRPr lang="en-US" sz="1400">
            <a:effectLst/>
            <a:latin typeface="Garamond" panose="02020404030301010803" pitchFamily="18" charset="0"/>
          </a:endParaRPr>
        </a:p>
        <a:p>
          <a:r>
            <a:rPr lang="en-US" sz="1400" b="0">
              <a:solidFill>
                <a:schemeClr val="lt1"/>
              </a:solidFill>
              <a:effectLst/>
              <a:latin typeface="Garamond" panose="02020404030301010803" pitchFamily="18" charset="0"/>
              <a:ea typeface="+mn-ea"/>
              <a:cs typeface="+mn-cs"/>
            </a:rPr>
            <a:t>18. Analyze High-Contribution Product Categories. Determine which product categories contribute most to total revenue or growth.</a:t>
          </a:r>
          <a:endParaRPr lang="en-US" sz="1400">
            <a:effectLst/>
            <a:latin typeface="Garamond" panose="02020404030301010803" pitchFamily="18" charset="0"/>
          </a:endParaRPr>
        </a:p>
        <a:p>
          <a:endParaRPr lang="en-US" sz="1200" b="0">
            <a:latin typeface="Garamond" panose="02020404030301010803" pitchFamily="18" charset="0"/>
          </a:endParaRPr>
        </a:p>
        <a:p>
          <a:pPr marL="0" indent="0" algn="l"/>
          <a:endParaRPr lang="en-US" sz="1400" b="0" i="0" u="none" strike="noStrike" baseline="0">
            <a:solidFill>
              <a:schemeClr val="lt1"/>
            </a:solidFill>
            <a:effectLst/>
            <a:latin typeface="Garamond" panose="02020404030301010803" pitchFamily="18" charset="0"/>
            <a:ea typeface="+mn-ea"/>
            <a:cs typeface="+mn-cs"/>
          </a:endParaRPr>
        </a:p>
      </xdr:txBody>
    </xdr:sp>
    <xdr:clientData/>
  </xdr:twoCellAnchor>
  <xdr:twoCellAnchor>
    <xdr:from>
      <xdr:col>0</xdr:col>
      <xdr:colOff>152997</xdr:colOff>
      <xdr:row>32</xdr:row>
      <xdr:rowOff>133349</xdr:rowOff>
    </xdr:from>
    <xdr:to>
      <xdr:col>14</xdr:col>
      <xdr:colOff>133947</xdr:colOff>
      <xdr:row>70</xdr:row>
      <xdr:rowOff>183491</xdr:rowOff>
    </xdr:to>
    <xdr:sp macro="" textlink="">
      <xdr:nvSpPr>
        <xdr:cNvPr id="6" name="Rectangle: Rounded Corners 5">
          <a:extLst>
            <a:ext uri="{FF2B5EF4-FFF2-40B4-BE49-F238E27FC236}">
              <a16:creationId xmlns:a16="http://schemas.microsoft.com/office/drawing/2014/main" id="{2C1A85D8-05FB-420B-9C8C-5DB2F24CD898}"/>
            </a:ext>
          </a:extLst>
        </xdr:cNvPr>
        <xdr:cNvSpPr/>
      </xdr:nvSpPr>
      <xdr:spPr>
        <a:xfrm>
          <a:off x="152997" y="6143490"/>
          <a:ext cx="8432711" cy="7187184"/>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2"/>
              </a:solidFill>
              <a:latin typeface="Garamond" panose="02020404030301010803" pitchFamily="18" charset="0"/>
            </a:rPr>
            <a:t>INDUSTRY</a:t>
          </a:r>
          <a:r>
            <a:rPr lang="en-US" sz="1600" b="1" baseline="0">
              <a:solidFill>
                <a:schemeClr val="tx2"/>
              </a:solidFill>
              <a:latin typeface="Garamond" panose="02020404030301010803" pitchFamily="18" charset="0"/>
            </a:rPr>
            <a:t> TYPE</a:t>
          </a:r>
        </a:p>
        <a:p>
          <a:pPr algn="l"/>
          <a:r>
            <a:rPr lang="en-US" sz="1400" baseline="0">
              <a:solidFill>
                <a:schemeClr val="tx2"/>
              </a:solidFill>
              <a:latin typeface="Garamond" panose="02020404030301010803" pitchFamily="18" charset="0"/>
            </a:rPr>
            <a:t>Grocery Store with revenue Means</a:t>
          </a:r>
        </a:p>
        <a:p>
          <a:pPr algn="l"/>
          <a:endParaRPr lang="en-US" sz="1200" baseline="0">
            <a:solidFill>
              <a:schemeClr val="tx2"/>
            </a:solidFill>
            <a:latin typeface="Garamond" panose="02020404030301010803" pitchFamily="18" charset="0"/>
          </a:endParaRPr>
        </a:p>
        <a:p>
          <a:pPr marL="0" indent="0" algn="ctr"/>
          <a:r>
            <a:rPr lang="en-US" sz="1600" b="1">
              <a:solidFill>
                <a:schemeClr val="tx2"/>
              </a:solidFill>
              <a:latin typeface="Garamond" panose="02020404030301010803" pitchFamily="18" charset="0"/>
              <a:ea typeface="+mn-ea"/>
              <a:cs typeface="+mn-cs"/>
            </a:rPr>
            <a:t>STORY OF THE DATA</a:t>
          </a:r>
        </a:p>
        <a:p>
          <a:pPr algn="l"/>
          <a:r>
            <a:rPr lang="en-US" sz="1400" baseline="0">
              <a:solidFill>
                <a:schemeClr val="tx2"/>
              </a:solidFill>
              <a:latin typeface="Garamond" panose="02020404030301010803" pitchFamily="18" charset="0"/>
              <a:ea typeface="+mn-ea"/>
              <a:cs typeface="+mn-cs"/>
            </a:rPr>
            <a:t>This dataset tells the story of the firm's sales operations over a period of twelve months in 2014 within different locations.It provides a detailed look at individual customer orders, from the moment a purchase is made to when it's shipped.</a:t>
          </a:r>
        </a:p>
        <a:p>
          <a:pPr algn="l"/>
          <a:endParaRPr lang="en-US" sz="1600" baseline="0">
            <a:solidFill>
              <a:schemeClr val="tx2"/>
            </a:solidFill>
            <a:latin typeface="Garamond" panose="02020404030301010803" pitchFamily="18" charset="0"/>
            <a:ea typeface="+mn-ea"/>
            <a:cs typeface="+mn-cs"/>
          </a:endParaRPr>
        </a:p>
        <a:p>
          <a:pPr marL="0" indent="0" algn="ctr"/>
          <a:r>
            <a:rPr lang="en-US" sz="1600" b="1">
              <a:solidFill>
                <a:schemeClr val="tx2"/>
              </a:solidFill>
              <a:latin typeface="Garamond" panose="02020404030301010803" pitchFamily="18" charset="0"/>
              <a:ea typeface="+mn-ea"/>
              <a:cs typeface="+mn-cs"/>
            </a:rPr>
            <a:t>STAKEHOLDERS OF PROJECT</a:t>
          </a:r>
        </a:p>
        <a:p>
          <a:pPr marL="0" indent="0" algn="l"/>
          <a:r>
            <a:rPr lang="en-US" sz="1400" baseline="0">
              <a:solidFill>
                <a:schemeClr val="tx2"/>
              </a:solidFill>
              <a:latin typeface="Garamond" panose="02020404030301010803" pitchFamily="18" charset="0"/>
              <a:ea typeface="+mn-ea"/>
              <a:cs typeface="+mn-cs"/>
            </a:rPr>
            <a:t>The Chief Executives and Marketing Team</a:t>
          </a:r>
        </a:p>
        <a:p>
          <a:pPr algn="l"/>
          <a:endParaRPr lang="en-US" sz="1200" baseline="0">
            <a:solidFill>
              <a:schemeClr val="tx2"/>
            </a:solidFill>
            <a:latin typeface="Garamond" panose="02020404030301010803" pitchFamily="18" charset="0"/>
          </a:endParaRPr>
        </a:p>
        <a:p>
          <a:pPr marL="0" indent="0" algn="ctr"/>
          <a:r>
            <a:rPr lang="en-US" sz="1600" b="1">
              <a:solidFill>
                <a:schemeClr val="tx2"/>
              </a:solidFill>
              <a:latin typeface="Garamond" panose="02020404030301010803" pitchFamily="18" charset="0"/>
              <a:ea typeface="+mn-ea"/>
              <a:cs typeface="+mn-cs"/>
            </a:rPr>
            <a:t>WHAT SUCCESS MEANS TO INDUSTRY</a:t>
          </a:r>
        </a:p>
        <a:p>
          <a:pPr algn="l"/>
          <a:r>
            <a:rPr lang="en-US" sz="1400" baseline="0">
              <a:solidFill>
                <a:schemeClr val="tx2"/>
              </a:solidFill>
              <a:latin typeface="Garamond" panose="02020404030301010803" pitchFamily="18" charset="0"/>
              <a:ea typeface="+mn-ea"/>
              <a:cs typeface="+mn-cs"/>
            </a:rPr>
            <a:t>Generating more revenue is the goal. This is considered as value </a:t>
          </a:r>
          <a:r>
            <a:rPr lang="en-US" sz="1200" baseline="0">
              <a:solidFill>
                <a:schemeClr val="tx2"/>
              </a:solidFill>
              <a:latin typeface="Garamond" panose="02020404030301010803" pitchFamily="18" charset="0"/>
            </a:rPr>
            <a:t> </a:t>
          </a:r>
          <a:endParaRPr lang="en-US" sz="1200">
            <a:solidFill>
              <a:schemeClr val="tx2"/>
            </a:solidFill>
            <a:latin typeface="Garamond" panose="02020404030301010803" pitchFamily="18" charset="0"/>
          </a:endParaRPr>
        </a:p>
      </xdr:txBody>
    </xdr:sp>
    <xdr:clientData/>
  </xdr:twoCellAnchor>
  <xdr:twoCellAnchor>
    <xdr:from>
      <xdr:col>4</xdr:col>
      <xdr:colOff>335387</xdr:colOff>
      <xdr:row>1</xdr:row>
      <xdr:rowOff>133945</xdr:rowOff>
    </xdr:from>
    <xdr:to>
      <xdr:col>9</xdr:col>
      <xdr:colOff>335386</xdr:colOff>
      <xdr:row>4</xdr:row>
      <xdr:rowOff>134155</xdr:rowOff>
    </xdr:to>
    <xdr:sp macro="" textlink="">
      <xdr:nvSpPr>
        <xdr:cNvPr id="4" name="Oval 3">
          <a:extLst>
            <a:ext uri="{FF2B5EF4-FFF2-40B4-BE49-F238E27FC236}">
              <a16:creationId xmlns:a16="http://schemas.microsoft.com/office/drawing/2014/main" id="{BDB0DA44-E817-442A-A954-0785E92E9A13}"/>
            </a:ext>
          </a:extLst>
        </xdr:cNvPr>
        <xdr:cNvSpPr/>
      </xdr:nvSpPr>
      <xdr:spPr>
        <a:xfrm>
          <a:off x="2750176" y="321762"/>
          <a:ext cx="3018485" cy="563661"/>
        </a:xfrm>
        <a:prstGeom prst="ellipse">
          <a:avLst/>
        </a:prstGeom>
        <a:solidFill>
          <a:schemeClr val="tx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a:solidFill>
                <a:schemeClr val="lt1"/>
              </a:solidFill>
              <a:effectLst/>
              <a:latin typeface="Garamond" panose="02020404030301010803" pitchFamily="18" charset="0"/>
              <a:ea typeface="+mn-ea"/>
              <a:cs typeface="+mn-cs"/>
            </a:rPr>
            <a:t>PROJECT SPILT</a:t>
          </a:r>
          <a:endParaRPr lang="en-US" sz="1800">
            <a:effectLst/>
            <a:latin typeface="Garamond" panose="02020404030301010803" pitchFamily="18" charset="0"/>
          </a:endParaRPr>
        </a:p>
      </xdr:txBody>
    </xdr:sp>
    <xdr:clientData/>
  </xdr:twoCellAnchor>
  <xdr:twoCellAnchor>
    <xdr:from>
      <xdr:col>9</xdr:col>
      <xdr:colOff>335386</xdr:colOff>
      <xdr:row>3</xdr:row>
      <xdr:rowOff>40142</xdr:rowOff>
    </xdr:from>
    <xdr:to>
      <xdr:col>9</xdr:col>
      <xdr:colOff>506015</xdr:colOff>
      <xdr:row>7</xdr:row>
      <xdr:rowOff>133945</xdr:rowOff>
    </xdr:to>
    <xdr:cxnSp macro="">
      <xdr:nvCxnSpPr>
        <xdr:cNvPr id="21" name="Connector: Elbow 20">
          <a:extLst>
            <a:ext uri="{FF2B5EF4-FFF2-40B4-BE49-F238E27FC236}">
              <a16:creationId xmlns:a16="http://schemas.microsoft.com/office/drawing/2014/main" id="{47FBB5F4-D787-4061-9C5E-57942AC27191}"/>
            </a:ext>
          </a:extLst>
        </xdr:cNvPr>
        <xdr:cNvCxnSpPr>
          <a:stCxn id="4" idx="6"/>
        </xdr:cNvCxnSpPr>
      </xdr:nvCxnSpPr>
      <xdr:spPr>
        <a:xfrm>
          <a:off x="5768661" y="603593"/>
          <a:ext cx="170629" cy="84507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476258</xdr:colOff>
      <xdr:row>3</xdr:row>
      <xdr:rowOff>40142</xdr:rowOff>
    </xdr:from>
    <xdr:to>
      <xdr:col>4</xdr:col>
      <xdr:colOff>335388</xdr:colOff>
      <xdr:row>7</xdr:row>
      <xdr:rowOff>104167</xdr:rowOff>
    </xdr:to>
    <xdr:cxnSp macro="">
      <xdr:nvCxnSpPr>
        <xdr:cNvPr id="26" name="Connector: Elbow 25">
          <a:extLst>
            <a:ext uri="{FF2B5EF4-FFF2-40B4-BE49-F238E27FC236}">
              <a16:creationId xmlns:a16="http://schemas.microsoft.com/office/drawing/2014/main" id="{8F345D64-BF60-4B7D-B51B-43B050E7CF90}"/>
            </a:ext>
          </a:extLst>
        </xdr:cNvPr>
        <xdr:cNvCxnSpPr>
          <a:stCxn id="4" idx="2"/>
        </xdr:cNvCxnSpPr>
      </xdr:nvCxnSpPr>
      <xdr:spPr>
        <a:xfrm rot="10800000" flipV="1">
          <a:off x="2287350" y="603593"/>
          <a:ext cx="462827" cy="81529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342304</xdr:colOff>
      <xdr:row>7</xdr:row>
      <xdr:rowOff>74413</xdr:rowOff>
    </xdr:from>
    <xdr:to>
      <xdr:col>6</xdr:col>
      <xdr:colOff>59530</xdr:colOff>
      <xdr:row>26</xdr:row>
      <xdr:rowOff>53661</xdr:rowOff>
    </xdr:to>
    <xdr:sp macro="" textlink="">
      <xdr:nvSpPr>
        <xdr:cNvPr id="29" name="Rectangle 28">
          <a:extLst>
            <a:ext uri="{FF2B5EF4-FFF2-40B4-BE49-F238E27FC236}">
              <a16:creationId xmlns:a16="http://schemas.microsoft.com/office/drawing/2014/main" id="{3BC0F046-3C65-4323-B53A-C1A1D311E323}"/>
            </a:ext>
          </a:extLst>
        </xdr:cNvPr>
        <xdr:cNvSpPr/>
      </xdr:nvSpPr>
      <xdr:spPr>
        <a:xfrm>
          <a:off x="946001" y="1389131"/>
          <a:ext cx="2735712" cy="3547769"/>
        </a:xfrm>
        <a:prstGeom prst="rect">
          <a:avLst/>
        </a:prstGeom>
        <a:solidFill>
          <a:schemeClr val="tx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a:solidFill>
                <a:schemeClr val="lt1"/>
              </a:solidFill>
              <a:effectLst/>
              <a:latin typeface="Garamond" panose="02020404030301010803" pitchFamily="18" charset="0"/>
              <a:ea typeface="+mn-ea"/>
              <a:cs typeface="+mn-cs"/>
            </a:rPr>
            <a:t>Independent variables</a:t>
          </a:r>
        </a:p>
        <a:p>
          <a:r>
            <a:rPr lang="en-US" sz="1200" b="0" i="0">
              <a:solidFill>
                <a:schemeClr val="lt1"/>
              </a:solidFill>
              <a:effectLst/>
              <a:latin typeface="Garamond" panose="02020404030301010803" pitchFamily="18" charset="0"/>
              <a:ea typeface="+mn-ea"/>
              <a:cs typeface="+mn-cs"/>
            </a:rPr>
            <a:t>Order ID</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Order Date</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Customer ID</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Customer Name</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Address</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City</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State</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Country/Region</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Salesperson</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Region</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Shipped Date</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Shipper Name</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Ship State</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Ship Country/Region</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Payment Type</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Product Name</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Category</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a:solidFill>
                <a:schemeClr val="lt1"/>
              </a:solidFill>
              <a:effectLst/>
              <a:latin typeface="Garamond" panose="02020404030301010803" pitchFamily="18" charset="0"/>
              <a:ea typeface="+mn-ea"/>
              <a:cs typeface="+mn-cs"/>
            </a:rPr>
            <a:t> </a:t>
          </a:r>
          <a:endParaRPr lang="en-US" sz="1800">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800" b="1" i="0">
            <a:solidFill>
              <a:schemeClr val="lt1"/>
            </a:solidFill>
            <a:effectLst/>
            <a:latin typeface="Garamond" panose="02020404030301010803" pitchFamily="18" charset="0"/>
            <a:ea typeface="+mn-ea"/>
            <a:cs typeface="+mn-cs"/>
          </a:endParaRPr>
        </a:p>
      </xdr:txBody>
    </xdr:sp>
    <xdr:clientData/>
  </xdr:twoCellAnchor>
  <xdr:twoCellAnchor>
    <xdr:from>
      <xdr:col>7</xdr:col>
      <xdr:colOff>330993</xdr:colOff>
      <xdr:row>7</xdr:row>
      <xdr:rowOff>122633</xdr:rowOff>
    </xdr:from>
    <xdr:to>
      <xdr:col>12</xdr:col>
      <xdr:colOff>48219</xdr:colOff>
      <xdr:row>26</xdr:row>
      <xdr:rowOff>53662</xdr:rowOff>
    </xdr:to>
    <xdr:sp macro="" textlink="">
      <xdr:nvSpPr>
        <xdr:cNvPr id="30" name="Rectangle 29">
          <a:extLst>
            <a:ext uri="{FF2B5EF4-FFF2-40B4-BE49-F238E27FC236}">
              <a16:creationId xmlns:a16="http://schemas.microsoft.com/office/drawing/2014/main" id="{8C6649E4-357C-45A2-9CD7-23B064E03FB4}"/>
            </a:ext>
          </a:extLst>
        </xdr:cNvPr>
        <xdr:cNvSpPr/>
      </xdr:nvSpPr>
      <xdr:spPr>
        <a:xfrm>
          <a:off x="4556873" y="1437351"/>
          <a:ext cx="2735712" cy="3499550"/>
        </a:xfrm>
        <a:prstGeom prst="rect">
          <a:avLst/>
        </a:prstGeom>
        <a:solidFill>
          <a:schemeClr val="tx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lt1"/>
              </a:solidFill>
              <a:effectLst/>
              <a:latin typeface="Garamond" panose="02020404030301010803" pitchFamily="18" charset="0"/>
              <a:ea typeface="+mn-ea"/>
              <a:cs typeface="+mn-cs"/>
            </a:rPr>
            <a:t>Dependent variables</a:t>
          </a:r>
        </a:p>
        <a:p>
          <a:r>
            <a:rPr lang="en-US" sz="1200" b="0" i="0">
              <a:solidFill>
                <a:schemeClr val="lt1"/>
              </a:solidFill>
              <a:effectLst/>
              <a:latin typeface="Garamond" panose="02020404030301010803" pitchFamily="18" charset="0"/>
              <a:ea typeface="+mn-ea"/>
              <a:cs typeface="+mn-cs"/>
            </a:rPr>
            <a:t>Unit Price</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Quantity</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r>
            <a:rPr lang="en-US" sz="1200" b="0" i="0">
              <a:solidFill>
                <a:schemeClr val="lt1"/>
              </a:solidFill>
              <a:effectLst/>
              <a:latin typeface="Garamond" panose="02020404030301010803" pitchFamily="18" charset="0"/>
              <a:ea typeface="+mn-ea"/>
              <a:cs typeface="+mn-cs"/>
            </a:rPr>
            <a:t>Revenue</a:t>
          </a:r>
          <a:r>
            <a:rPr lang="en-US" sz="1200" b="0">
              <a:solidFill>
                <a:schemeClr val="lt1"/>
              </a:solidFill>
              <a:effectLst/>
              <a:latin typeface="Garamond" panose="02020404030301010803" pitchFamily="18" charset="0"/>
              <a:ea typeface="+mn-ea"/>
              <a:cs typeface="+mn-cs"/>
            </a:rPr>
            <a:t> </a:t>
          </a:r>
          <a:endParaRPr lang="en-US" sz="1200" b="0">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a:solidFill>
                <a:schemeClr val="lt1"/>
              </a:solidFill>
              <a:effectLst/>
              <a:latin typeface="Garamond" panose="02020404030301010803" pitchFamily="18" charset="0"/>
              <a:ea typeface="+mn-ea"/>
              <a:cs typeface="+mn-cs"/>
            </a:rPr>
            <a:t>Shipping Fee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0</xdr:row>
      <xdr:rowOff>171450</xdr:rowOff>
    </xdr:from>
    <xdr:to>
      <xdr:col>13</xdr:col>
      <xdr:colOff>592929</xdr:colOff>
      <xdr:row>28</xdr:row>
      <xdr:rowOff>88188</xdr:rowOff>
    </xdr:to>
    <xdr:sp macro="" textlink="">
      <xdr:nvSpPr>
        <xdr:cNvPr id="2" name="Rectangle: Rounded Corners 1">
          <a:extLst>
            <a:ext uri="{FF2B5EF4-FFF2-40B4-BE49-F238E27FC236}">
              <a16:creationId xmlns:a16="http://schemas.microsoft.com/office/drawing/2014/main" id="{AE9AF837-1E25-4298-A6C0-343C7B8EF45D}"/>
            </a:ext>
          </a:extLst>
        </xdr:cNvPr>
        <xdr:cNvSpPr/>
      </xdr:nvSpPr>
      <xdr:spPr>
        <a:xfrm>
          <a:off x="133350" y="171450"/>
          <a:ext cx="8311896" cy="5120640"/>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i="0">
              <a:solidFill>
                <a:schemeClr val="lt1"/>
              </a:solidFill>
              <a:effectLst/>
              <a:latin typeface="Garamond" panose="02020404030301010803" pitchFamily="18" charset="0"/>
              <a:ea typeface="+mn-ea"/>
              <a:cs typeface="+mn-cs"/>
            </a:rPr>
            <a:t>Anaysis - Sales Performance Analysis by Region</a:t>
          </a:r>
          <a:endParaRPr lang="en-US" sz="1800" b="1">
            <a:effectLst/>
            <a:latin typeface="Garamond" panose="02020404030301010803" pitchFamily="18" charset="0"/>
          </a:endParaRPr>
        </a:p>
        <a:p>
          <a:r>
            <a:rPr lang="en-US" sz="1400" b="0">
              <a:latin typeface="Garamond" panose="02020404030301010803" pitchFamily="18" charset="0"/>
            </a:rPr>
            <a:t>Nancy Freehafer appears to be a highly active sales person, with </a:t>
          </a:r>
          <a:r>
            <a:rPr lang="en-US" sz="1400" b="0" i="0">
              <a:solidFill>
                <a:schemeClr val="lt1"/>
              </a:solidFill>
              <a:effectLst/>
              <a:latin typeface="Garamond" panose="02020404030301010803" pitchFamily="18" charset="0"/>
              <a:ea typeface="+mn-ea"/>
              <a:cs typeface="+mn-cs"/>
            </a:rPr>
            <a:t>$ 104,252.34 revenue generated</a:t>
          </a:r>
        </a:p>
        <a:p>
          <a:r>
            <a:rPr lang="en-US" sz="1400" b="0" i="0" u="none" strike="noStrike">
              <a:solidFill>
                <a:schemeClr val="lt1"/>
              </a:solidFill>
              <a:effectLst/>
              <a:latin typeface="Garamond" panose="02020404030301010803" pitchFamily="18" charset="0"/>
              <a:ea typeface="+mn-ea"/>
              <a:cs typeface="+mn-cs"/>
            </a:rPr>
            <a:t>Anne Larsen</a:t>
          </a:r>
          <a:r>
            <a:rPr lang="en-US" sz="1400" b="0" i="0" u="none" strike="noStrike" baseline="0">
              <a:solidFill>
                <a:schemeClr val="lt1"/>
              </a:solidFill>
              <a:effectLst/>
              <a:latin typeface="Garamond" panose="02020404030301010803" pitchFamily="18" charset="0"/>
              <a:ea typeface="+mn-ea"/>
              <a:cs typeface="+mn-cs"/>
            </a:rPr>
            <a:t> </a:t>
          </a:r>
          <a:r>
            <a:rPr lang="en-US" sz="1400" b="0" i="0">
              <a:solidFill>
                <a:schemeClr val="lt1"/>
              </a:solidFill>
              <a:effectLst/>
              <a:latin typeface="Garamond" panose="02020404030301010803" pitchFamily="18" charset="0"/>
              <a:ea typeface="+mn-ea"/>
              <a:cs typeface="+mn-cs"/>
            </a:rPr>
            <a:t>generated a revenue of</a:t>
          </a:r>
          <a:r>
            <a:rPr lang="en-US" sz="1400" b="0" i="0" u="none" strike="noStrike" baseline="0">
              <a:solidFill>
                <a:schemeClr val="lt1"/>
              </a:solidFill>
              <a:effectLst/>
              <a:latin typeface="Garamond" panose="02020404030301010803" pitchFamily="18" charset="0"/>
              <a:ea typeface="+mn-ea"/>
              <a:cs typeface="+mn-cs"/>
            </a:rPr>
            <a:t> </a:t>
          </a:r>
          <a:r>
            <a:rPr lang="en-US" sz="1400" b="0" i="0" u="none" strike="noStrike">
              <a:solidFill>
                <a:schemeClr val="lt1"/>
              </a:solidFill>
              <a:effectLst/>
              <a:latin typeface="Garamond" panose="02020404030301010803" pitchFamily="18" charset="0"/>
              <a:ea typeface="+mn-ea"/>
              <a:cs typeface="+mn-cs"/>
            </a:rPr>
            <a:t>$ 93,858.33 </a:t>
          </a:r>
        </a:p>
        <a:p>
          <a:r>
            <a:rPr lang="en-US" sz="1400" b="0" i="0" u="none" strike="noStrike">
              <a:solidFill>
                <a:schemeClr val="lt1"/>
              </a:solidFill>
              <a:effectLst/>
              <a:latin typeface="Garamond" panose="02020404030301010803" pitchFamily="18" charset="0"/>
              <a:ea typeface="+mn-ea"/>
              <a:cs typeface="+mn-cs"/>
            </a:rPr>
            <a:t>Andrew Cencini </a:t>
          </a:r>
          <a:r>
            <a:rPr lang="en-US" sz="1400" b="0" i="0">
              <a:solidFill>
                <a:schemeClr val="lt1"/>
              </a:solidFill>
              <a:effectLst/>
              <a:latin typeface="Garamond" panose="02020404030301010803" pitchFamily="18" charset="0"/>
              <a:ea typeface="+mn-ea"/>
              <a:cs typeface="+mn-cs"/>
            </a:rPr>
            <a:t>generated a revenue of</a:t>
          </a:r>
          <a:r>
            <a:rPr lang="en-US" sz="1400" b="0" i="0" baseline="0">
              <a:solidFill>
                <a:schemeClr val="lt1"/>
              </a:solidFill>
              <a:effectLst/>
              <a:latin typeface="Garamond" panose="02020404030301010803" pitchFamily="18" charset="0"/>
              <a:ea typeface="+mn-ea"/>
              <a:cs typeface="+mn-cs"/>
            </a:rPr>
            <a:t> </a:t>
          </a:r>
          <a:r>
            <a:rPr lang="en-US" sz="1400" b="0" i="0" u="none" strike="noStrike">
              <a:solidFill>
                <a:schemeClr val="lt1"/>
              </a:solidFill>
              <a:effectLst/>
              <a:latin typeface="Garamond" panose="02020404030301010803" pitchFamily="18" charset="0"/>
              <a:ea typeface="+mn-ea"/>
              <a:cs typeface="+mn-cs"/>
            </a:rPr>
            <a:t>$ 67,180.50 </a:t>
          </a:r>
        </a:p>
        <a:p>
          <a:r>
            <a:rPr lang="en-US" sz="1400" b="0" i="0">
              <a:solidFill>
                <a:schemeClr val="lt1"/>
              </a:solidFill>
              <a:effectLst/>
              <a:latin typeface="Garamond" panose="02020404030301010803" pitchFamily="18" charset="0"/>
              <a:ea typeface="+mn-ea"/>
              <a:cs typeface="+mn-cs"/>
            </a:rPr>
            <a:t>Mariya Sergienko generated a revenue of $</a:t>
          </a:r>
          <a:r>
            <a:rPr lang="en-US" sz="1400" b="0" i="0" baseline="0">
              <a:solidFill>
                <a:schemeClr val="lt1"/>
              </a:solidFill>
              <a:effectLst/>
              <a:latin typeface="Garamond" panose="02020404030301010803" pitchFamily="18" charset="0"/>
              <a:ea typeface="+mn-ea"/>
              <a:cs typeface="+mn-cs"/>
            </a:rPr>
            <a:t> </a:t>
          </a:r>
          <a:r>
            <a:rPr lang="en-US" sz="1400" b="0" i="0">
              <a:solidFill>
                <a:schemeClr val="lt1"/>
              </a:solidFill>
              <a:effectLst/>
              <a:latin typeface="Garamond" panose="02020404030301010803" pitchFamily="18" charset="0"/>
              <a:ea typeface="+mn-ea"/>
              <a:cs typeface="+mn-cs"/>
            </a:rPr>
            <a:t>42,370.88 </a:t>
          </a:r>
        </a:p>
        <a:p>
          <a:r>
            <a:rPr lang="en-US" sz="1400" b="0" i="0">
              <a:solidFill>
                <a:schemeClr val="lt1"/>
              </a:solidFill>
              <a:effectLst/>
              <a:latin typeface="Garamond" panose="02020404030301010803" pitchFamily="18" charset="0"/>
              <a:ea typeface="+mn-ea"/>
              <a:cs typeface="+mn-cs"/>
            </a:rPr>
            <a:t>Laura Giussani generated a revenue of $ 41,095.01 </a:t>
          </a:r>
        </a:p>
        <a:p>
          <a:r>
            <a:rPr lang="en-US" sz="1400" b="0" i="0">
              <a:solidFill>
                <a:schemeClr val="lt1"/>
              </a:solidFill>
              <a:effectLst/>
              <a:latin typeface="Garamond" panose="02020404030301010803" pitchFamily="18" charset="0"/>
              <a:ea typeface="+mn-ea"/>
              <a:cs typeface="+mn-cs"/>
            </a:rPr>
            <a:t>Michael Neipper generated a revenue of $ 37,428.00 </a:t>
          </a:r>
        </a:p>
        <a:p>
          <a:r>
            <a:rPr lang="en-US" sz="1400" b="0" i="0">
              <a:solidFill>
                <a:schemeClr val="lt1"/>
              </a:solidFill>
              <a:effectLst/>
              <a:latin typeface="Garamond" panose="02020404030301010803" pitchFamily="18" charset="0"/>
              <a:ea typeface="+mn-ea"/>
              <a:cs typeface="+mn-cs"/>
            </a:rPr>
            <a:t>Robert Zare generated a revenue of  $ 32,530.60 </a:t>
          </a:r>
        </a:p>
        <a:p>
          <a:r>
            <a:rPr lang="en-US" sz="1400" b="0">
              <a:latin typeface="Garamond" panose="02020404030301010803" pitchFamily="18" charset="0"/>
            </a:rPr>
            <a:t>Jan Kotas is the least performing sales person</a:t>
          </a:r>
          <a:r>
            <a:rPr lang="en-US" sz="1400" b="0" baseline="0">
              <a:latin typeface="Garamond" panose="02020404030301010803" pitchFamily="18" charset="0"/>
            </a:rPr>
            <a:t> with a revenue of </a:t>
          </a:r>
          <a:r>
            <a:rPr lang="en-US" sz="1400" b="0" i="0" u="none" strike="noStrike">
              <a:solidFill>
                <a:schemeClr val="lt1"/>
              </a:solidFill>
              <a:effectLst/>
              <a:latin typeface="Garamond" panose="02020404030301010803" pitchFamily="18" charset="0"/>
              <a:ea typeface="+mn-ea"/>
              <a:cs typeface="+mn-cs"/>
            </a:rPr>
            <a:t>  $ 16,350.50</a:t>
          </a:r>
          <a:r>
            <a:rPr lang="en-US" sz="1600" b="0" i="0" u="none" strike="noStrike">
              <a:solidFill>
                <a:schemeClr val="lt1"/>
              </a:solidFill>
              <a:effectLst/>
              <a:latin typeface="Garamond" panose="02020404030301010803" pitchFamily="18" charset="0"/>
              <a:ea typeface="+mn-ea"/>
              <a:cs typeface="+mn-cs"/>
            </a:rPr>
            <a:t> </a:t>
          </a:r>
          <a:endParaRPr lang="en-US" sz="1600" b="0">
            <a:latin typeface="Garamond" panose="02020404030301010803" pitchFamily="18" charset="0"/>
          </a:endParaRPr>
        </a:p>
        <a:p>
          <a:pPr algn="l"/>
          <a:endParaRPr lang="en-US" sz="1600" b="0" i="0" u="none" strike="noStrike">
            <a:solidFill>
              <a:schemeClr val="lt1"/>
            </a:solidFill>
            <a:effectLst/>
            <a:latin typeface="Garamond" panose="02020404030301010803" pitchFamily="18" charset="0"/>
            <a:ea typeface="+mn-ea"/>
            <a:cs typeface="+mn-cs"/>
          </a:endParaRPr>
        </a:p>
        <a:p>
          <a:pPr algn="l"/>
          <a:r>
            <a:rPr lang="en-US" sz="1800" b="1" i="0">
              <a:solidFill>
                <a:schemeClr val="lt1"/>
              </a:solidFill>
              <a:effectLst/>
              <a:latin typeface="Garamond" panose="02020404030301010803" pitchFamily="18" charset="0"/>
              <a:ea typeface="+mn-ea"/>
              <a:cs typeface="+mn-cs"/>
            </a:rPr>
            <a:t>Pre-Insights</a:t>
          </a:r>
        </a:p>
        <a:p>
          <a:pPr algn="l"/>
          <a:r>
            <a:rPr lang="en-US" sz="1400" b="0" i="0" u="none" strike="noStrike">
              <a:solidFill>
                <a:schemeClr val="lt1"/>
              </a:solidFill>
              <a:effectLst/>
              <a:latin typeface="Garamond" panose="02020404030301010803" pitchFamily="18" charset="0"/>
              <a:ea typeface="+mn-ea"/>
              <a:cs typeface="+mn-cs"/>
            </a:rPr>
            <a:t>Incentives or</a:t>
          </a:r>
          <a:r>
            <a:rPr lang="en-US" sz="1400" b="0" i="0" u="none" strike="noStrike" baseline="0">
              <a:solidFill>
                <a:schemeClr val="lt1"/>
              </a:solidFill>
              <a:effectLst/>
              <a:latin typeface="Garamond" panose="02020404030301010803" pitchFamily="18" charset="0"/>
              <a:ea typeface="+mn-ea"/>
              <a:cs typeface="+mn-cs"/>
            </a:rPr>
            <a:t> benefits should awarded to the highest contributing sales person</a:t>
          </a:r>
        </a:p>
        <a:p>
          <a:pPr algn="l"/>
          <a:r>
            <a:rPr lang="en-US" sz="1400" b="0">
              <a:solidFill>
                <a:schemeClr val="lt1"/>
              </a:solidFill>
              <a:effectLst/>
              <a:latin typeface="Garamond" panose="02020404030301010803" pitchFamily="18" charset="0"/>
              <a:ea typeface="+mn-ea"/>
              <a:cs typeface="+mn-cs"/>
            </a:rPr>
            <a:t>The least performing</a:t>
          </a:r>
          <a:r>
            <a:rPr lang="en-US" sz="1400" b="0" baseline="0">
              <a:solidFill>
                <a:schemeClr val="lt1"/>
              </a:solidFill>
              <a:effectLst/>
              <a:latin typeface="Garamond" panose="02020404030301010803" pitchFamily="18" charset="0"/>
              <a:ea typeface="+mn-ea"/>
              <a:cs typeface="+mn-cs"/>
            </a:rPr>
            <a:t> sales person should undergo training or courses on marketing or CRM</a:t>
          </a:r>
          <a:endParaRPr lang="en-US" sz="1400" b="0" i="0" u="none" strike="noStrike">
            <a:solidFill>
              <a:schemeClr val="lt1"/>
            </a:solidFill>
            <a:effectLst/>
            <a:latin typeface="Garamond" panose="02020404030301010803" pitchFamily="18" charset="0"/>
            <a:ea typeface="+mn-ea"/>
            <a:cs typeface="+mn-cs"/>
          </a:endParaRPr>
        </a:p>
        <a:p>
          <a:pPr algn="l"/>
          <a:r>
            <a:rPr lang="en-US" sz="1400" b="0">
              <a:latin typeface="Garamond" panose="02020404030301010803" pitchFamily="18" charset="0"/>
            </a:rPr>
            <a:t>Regular workshops or training sessions should be i</a:t>
          </a:r>
          <a:r>
            <a:rPr lang="en-US" sz="1400" b="0">
              <a:solidFill>
                <a:schemeClr val="lt1"/>
              </a:solidFill>
              <a:effectLst/>
              <a:latin typeface="Garamond" panose="02020404030301010803" pitchFamily="18" charset="0"/>
              <a:ea typeface="+mn-ea"/>
              <a:cs typeface="+mn-cs"/>
            </a:rPr>
            <a:t>mplemented</a:t>
          </a:r>
          <a:r>
            <a:rPr lang="en-US" sz="1400" b="0">
              <a:latin typeface="Garamond" panose="02020404030301010803" pitchFamily="18" charset="0"/>
            </a:rPr>
            <a:t> where top performers share their successful approaches with the rest of the sales team.</a:t>
          </a:r>
          <a:endParaRPr lang="en-US" sz="14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xdr:txBody>
    </xdr:sp>
    <xdr:clientData/>
  </xdr:twoCellAnchor>
  <xdr:twoCellAnchor>
    <xdr:from>
      <xdr:col>0</xdr:col>
      <xdr:colOff>122464</xdr:colOff>
      <xdr:row>29</xdr:row>
      <xdr:rowOff>135737</xdr:rowOff>
    </xdr:from>
    <xdr:to>
      <xdr:col>13</xdr:col>
      <xdr:colOff>582043</xdr:colOff>
      <xdr:row>57</xdr:row>
      <xdr:rowOff>6754</xdr:rowOff>
    </xdr:to>
    <xdr:sp macro="" textlink="">
      <xdr:nvSpPr>
        <xdr:cNvPr id="3" name="Rectangle: Rounded Corners 2">
          <a:extLst>
            <a:ext uri="{FF2B5EF4-FFF2-40B4-BE49-F238E27FC236}">
              <a16:creationId xmlns:a16="http://schemas.microsoft.com/office/drawing/2014/main" id="{411D0D37-0B6D-484E-97D5-4D5FC70C09D5}"/>
            </a:ext>
          </a:extLst>
        </xdr:cNvPr>
        <xdr:cNvSpPr/>
      </xdr:nvSpPr>
      <xdr:spPr>
        <a:xfrm>
          <a:off x="122464" y="5525493"/>
          <a:ext cx="8311896" cy="507492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i="0">
              <a:solidFill>
                <a:schemeClr val="tx2"/>
              </a:solidFill>
              <a:effectLst/>
              <a:latin typeface="Garamond" panose="02020404030301010803" pitchFamily="18" charset="0"/>
              <a:ea typeface="+mn-ea"/>
              <a:cs typeface="+mn-cs"/>
            </a:rPr>
            <a:t>Analysis - Sales Trend Report</a:t>
          </a:r>
        </a:p>
        <a:p>
          <a:pPr marL="0" indent="0" algn="l"/>
          <a:r>
            <a:rPr lang="en-US" sz="1400" b="0" i="0">
              <a:solidFill>
                <a:schemeClr val="tx2"/>
              </a:solidFill>
              <a:effectLst/>
              <a:latin typeface="Garamond" panose="02020404030301010803" pitchFamily="18" charset="0"/>
              <a:ea typeface="+mn-ea"/>
              <a:cs typeface="+mn-cs"/>
            </a:rPr>
            <a:t>December appears as the highest performing</a:t>
          </a:r>
          <a:r>
            <a:rPr lang="en-US" sz="1400" b="0" i="0" baseline="0">
              <a:solidFill>
                <a:schemeClr val="tx2"/>
              </a:solidFill>
              <a:effectLst/>
              <a:latin typeface="Garamond" panose="02020404030301010803" pitchFamily="18" charset="0"/>
              <a:ea typeface="+mn-ea"/>
              <a:cs typeface="+mn-cs"/>
            </a:rPr>
            <a:t> month with a revenue of </a:t>
          </a:r>
          <a:r>
            <a:rPr lang="en-US" sz="1400" b="0" i="0">
              <a:solidFill>
                <a:schemeClr val="tx2"/>
              </a:solidFill>
              <a:effectLst/>
              <a:latin typeface="Garamond" panose="02020404030301010803" pitchFamily="18" charset="0"/>
              <a:ea typeface="+mn-ea"/>
              <a:cs typeface="+mn-cs"/>
            </a:rPr>
            <a:t>$ 66,642.78.</a:t>
          </a:r>
        </a:p>
        <a:p>
          <a:pPr marL="0" indent="0" algn="l"/>
          <a:r>
            <a:rPr lang="en-US" sz="1400" b="0" i="0">
              <a:solidFill>
                <a:schemeClr val="tx2"/>
              </a:solidFill>
              <a:effectLst/>
              <a:latin typeface="Garamond" panose="02020404030301010803" pitchFamily="18" charset="0"/>
              <a:ea typeface="+mn-ea"/>
              <a:cs typeface="+mn-cs"/>
            </a:rPr>
            <a:t>There</a:t>
          </a:r>
          <a:r>
            <a:rPr lang="en-US" sz="1400" b="0" i="0" baseline="0">
              <a:solidFill>
                <a:schemeClr val="tx2"/>
              </a:solidFill>
              <a:effectLst/>
              <a:latin typeface="Garamond" panose="02020404030301010803" pitchFamily="18" charset="0"/>
              <a:ea typeface="+mn-ea"/>
              <a:cs typeface="+mn-cs"/>
            </a:rPr>
            <a:t> appears to be </a:t>
          </a:r>
          <a:r>
            <a:rPr lang="en-US" sz="1400" b="0" i="0">
              <a:solidFill>
                <a:schemeClr val="tx2"/>
              </a:solidFill>
              <a:effectLst/>
              <a:latin typeface="Garamond" panose="02020404030301010803" pitchFamily="18" charset="0"/>
              <a:ea typeface="+mn-ea"/>
              <a:cs typeface="+mn-cs"/>
            </a:rPr>
            <a:t>a sharp</a:t>
          </a:r>
          <a:r>
            <a:rPr lang="en-US" sz="1400" b="0" i="0" baseline="0">
              <a:solidFill>
                <a:schemeClr val="tx2"/>
              </a:solidFill>
              <a:effectLst/>
              <a:latin typeface="Garamond" panose="02020404030301010803" pitchFamily="18" charset="0"/>
              <a:ea typeface="+mn-ea"/>
              <a:cs typeface="+mn-cs"/>
            </a:rPr>
            <a:t> decline in sales between the months of June at $ 55,601.61 revenue generated and July at $ 27,318.54 revenue generated after reaching a high sales peak in the former month.</a:t>
          </a:r>
          <a:br>
            <a:rPr lang="en-US" sz="1400" b="0" i="0" baseline="0">
              <a:solidFill>
                <a:schemeClr val="tx2"/>
              </a:solidFill>
              <a:effectLst/>
              <a:latin typeface="Garamond" panose="02020404030301010803" pitchFamily="18" charset="0"/>
              <a:ea typeface="+mn-ea"/>
              <a:cs typeface="+mn-cs"/>
            </a:rPr>
          </a:br>
          <a:r>
            <a:rPr lang="en-US" sz="1400" b="0" i="0" baseline="0">
              <a:solidFill>
                <a:schemeClr val="tx2"/>
              </a:solidFill>
              <a:effectLst/>
              <a:latin typeface="Garamond" panose="02020404030301010803" pitchFamily="18" charset="0"/>
              <a:ea typeface="+mn-ea"/>
              <a:cs typeface="+mn-cs"/>
            </a:rPr>
            <a:t>There also appears to be a sharp decline in sales between the months of October at $ 53,033.59 revenue generated and November at $ 31,773.43 revenue generated after reaching a high sales peak in the former month.</a:t>
          </a:r>
        </a:p>
        <a:p>
          <a:pPr marL="0" indent="0" algn="l"/>
          <a:r>
            <a:rPr lang="en-US" sz="1400" b="0" i="0" baseline="0">
              <a:solidFill>
                <a:schemeClr val="tx2"/>
              </a:solidFill>
              <a:effectLst/>
              <a:latin typeface="Garamond" panose="02020404030301010803" pitchFamily="18" charset="0"/>
              <a:ea typeface="+mn-ea"/>
              <a:cs typeface="+mn-cs"/>
            </a:rPr>
            <a:t>February is the lowest performing month with a revenue of $ 19,985.50.</a:t>
          </a:r>
        </a:p>
        <a:p>
          <a:pPr marL="0" indent="0" algn="l"/>
          <a:r>
            <a:rPr lang="en-US" sz="1400" b="0" i="0">
              <a:solidFill>
                <a:schemeClr val="tx2"/>
              </a:solidFill>
              <a:effectLst/>
              <a:latin typeface="Garamond" panose="02020404030301010803" pitchFamily="18" charset="0"/>
              <a:ea typeface="+mn-ea"/>
              <a:cs typeface="+mn-cs"/>
            </a:rPr>
            <a:t>There appears to be a high peak</a:t>
          </a:r>
          <a:r>
            <a:rPr lang="en-US" sz="1400" b="0" i="0" baseline="0">
              <a:solidFill>
                <a:schemeClr val="tx2"/>
              </a:solidFill>
              <a:effectLst/>
              <a:latin typeface="Garamond" panose="02020404030301010803" pitchFamily="18" charset="0"/>
              <a:ea typeface="+mn-ea"/>
              <a:cs typeface="+mn-cs"/>
            </a:rPr>
            <a:t> in sales after every six months</a:t>
          </a:r>
          <a:br>
            <a:rPr lang="en-US" sz="1400" b="0" i="0" baseline="0">
              <a:solidFill>
                <a:schemeClr val="tx2"/>
              </a:solidFill>
              <a:effectLst/>
              <a:latin typeface="Garamond" panose="02020404030301010803" pitchFamily="18" charset="0"/>
              <a:ea typeface="+mn-ea"/>
              <a:cs typeface="+mn-cs"/>
            </a:rPr>
          </a:br>
          <a:r>
            <a:rPr lang="en-US" sz="1400" b="0" i="0">
              <a:solidFill>
                <a:schemeClr val="tx2"/>
              </a:solidFill>
              <a:effectLst/>
              <a:latin typeface="Garamond" panose="02020404030301010803" pitchFamily="18" charset="0"/>
              <a:ea typeface="+mn-ea"/>
              <a:cs typeface="+mn-cs"/>
            </a:rPr>
            <a:t>Q4 is by far the strongest quarter, contributing approximately</a:t>
          </a:r>
          <a:r>
            <a:rPr lang="en-US" sz="1400" b="0" i="0" baseline="0">
              <a:solidFill>
                <a:schemeClr val="tx2"/>
              </a:solidFill>
              <a:effectLst/>
              <a:latin typeface="Garamond" panose="02020404030301010803" pitchFamily="18" charset="0"/>
              <a:ea typeface="+mn-ea"/>
              <a:cs typeface="+mn-cs"/>
            </a:rPr>
            <a:t> </a:t>
          </a:r>
          <a:r>
            <a:rPr lang="en-US" sz="1400" b="0" i="0">
              <a:solidFill>
                <a:schemeClr val="tx2"/>
              </a:solidFill>
              <a:effectLst/>
              <a:latin typeface="Garamond" panose="02020404030301010803" pitchFamily="18" charset="0"/>
              <a:ea typeface="+mn-ea"/>
              <a:cs typeface="+mn-cs"/>
            </a:rPr>
            <a:t>38% of total revenue.          </a:t>
          </a:r>
        </a:p>
        <a:p>
          <a:pPr marL="0" indent="0" algn="l"/>
          <a:r>
            <a:rPr lang="en-US" sz="1800" b="0" i="0">
              <a:solidFill>
                <a:schemeClr val="tx2"/>
              </a:solidFill>
              <a:effectLst/>
              <a:latin typeface="Garamond" panose="02020404030301010803" pitchFamily="18" charset="0"/>
              <a:ea typeface="+mn-ea"/>
              <a:cs typeface="+mn-cs"/>
            </a:rPr>
            <a:t> </a:t>
          </a:r>
        </a:p>
        <a:p>
          <a:pPr marL="0" indent="0" algn="l"/>
          <a:r>
            <a:rPr lang="en-US" sz="1600" b="1" i="0">
              <a:solidFill>
                <a:schemeClr val="tx2"/>
              </a:solidFill>
              <a:effectLst/>
              <a:latin typeface="Garamond" panose="02020404030301010803" pitchFamily="18" charset="0"/>
              <a:ea typeface="+mn-ea"/>
              <a:cs typeface="+mn-cs"/>
            </a:rPr>
            <a:t>Pre-Insights</a:t>
          </a:r>
          <a:endParaRPr lang="en-US" sz="1800" b="1" i="0">
            <a:solidFill>
              <a:schemeClr val="tx2"/>
            </a:solidFill>
            <a:effectLst/>
            <a:latin typeface="Garamond" panose="02020404030301010803" pitchFamily="18" charset="0"/>
            <a:ea typeface="+mn-ea"/>
            <a:cs typeface="+mn-cs"/>
          </a:endParaRPr>
        </a:p>
        <a:p>
          <a:pPr marL="0" indent="0" algn="l"/>
          <a:r>
            <a:rPr lang="en-US" sz="1400" b="0" i="0">
              <a:solidFill>
                <a:schemeClr val="tx2"/>
              </a:solidFill>
              <a:effectLst/>
              <a:latin typeface="Garamond" panose="02020404030301010803" pitchFamily="18" charset="0"/>
              <a:ea typeface="+mn-ea"/>
              <a:cs typeface="+mn-cs"/>
            </a:rPr>
            <a:t>Identify</a:t>
          </a:r>
          <a:r>
            <a:rPr lang="en-US" sz="1400" b="0" i="0" baseline="0">
              <a:solidFill>
                <a:schemeClr val="tx2"/>
              </a:solidFill>
              <a:effectLst/>
              <a:latin typeface="Garamond" panose="02020404030301010803" pitchFamily="18" charset="0"/>
              <a:ea typeface="+mn-ea"/>
              <a:cs typeface="+mn-cs"/>
            </a:rPr>
            <a:t> the root cause of low sales in February and more promotion should be done in this month.</a:t>
          </a:r>
          <a:br>
            <a:rPr lang="en-US" sz="1400" b="0" i="0" baseline="0">
              <a:solidFill>
                <a:schemeClr val="tx2"/>
              </a:solidFill>
              <a:effectLst/>
              <a:latin typeface="Garamond" panose="02020404030301010803" pitchFamily="18" charset="0"/>
              <a:ea typeface="+mn-ea"/>
              <a:cs typeface="+mn-cs"/>
            </a:rPr>
          </a:br>
          <a:r>
            <a:rPr lang="en-US" sz="1400" b="0" i="0" baseline="0">
              <a:solidFill>
                <a:schemeClr val="tx2"/>
              </a:solidFill>
              <a:effectLst/>
              <a:latin typeface="Garamond" panose="02020404030301010803" pitchFamily="18" charset="0"/>
              <a:ea typeface="+mn-ea"/>
              <a:cs typeface="+mn-cs"/>
            </a:rPr>
            <a:t>Investigate the probable cause of high sales in months with high peak and use the same strategy for the low performing month.</a:t>
          </a:r>
        </a:p>
        <a:p>
          <a:pPr marL="0" indent="0" algn="l"/>
          <a:r>
            <a:rPr lang="en-US" sz="1400" b="0" i="0" baseline="0">
              <a:solidFill>
                <a:schemeClr val="tx2"/>
              </a:solidFill>
              <a:effectLst/>
              <a:latin typeface="Garamond" panose="02020404030301010803" pitchFamily="18" charset="0"/>
              <a:ea typeface="+mn-ea"/>
              <a:cs typeface="+mn-cs"/>
            </a:rPr>
            <a:t>Identify the root cause of sharp decline in revenue in some months after arriving a peak in the previous months and more promotions should be done in those month</a:t>
          </a:r>
        </a:p>
        <a:p>
          <a:pPr marL="0" indent="0" algn="l"/>
          <a:r>
            <a:rPr lang="en-US" sz="1400" b="0" i="0" baseline="0">
              <a:solidFill>
                <a:schemeClr val="tx2"/>
              </a:solidFill>
              <a:effectLst/>
              <a:latin typeface="Garamond" panose="02020404030301010803" pitchFamily="18" charset="0"/>
              <a:ea typeface="+mn-ea"/>
              <a:cs typeface="+mn-cs"/>
            </a:rPr>
            <a:t>Strategic programs should organised in low performing month to increase revenue.</a:t>
          </a:r>
          <a:br>
            <a:rPr lang="en-US" sz="1400" b="0" i="0" baseline="0">
              <a:solidFill>
                <a:schemeClr val="tx2"/>
              </a:solidFill>
              <a:effectLst/>
              <a:latin typeface="Garamond" panose="02020404030301010803" pitchFamily="18" charset="0"/>
              <a:ea typeface="+mn-ea"/>
              <a:cs typeface="+mn-cs"/>
            </a:rPr>
          </a:br>
          <a:r>
            <a:rPr lang="en-US" sz="1400" b="0" i="0" baseline="0">
              <a:solidFill>
                <a:schemeClr val="tx2"/>
              </a:solidFill>
              <a:effectLst/>
              <a:latin typeface="Garamond" panose="02020404030301010803" pitchFamily="18" charset="0"/>
              <a:ea typeface="+mn-ea"/>
              <a:cs typeface="+mn-cs"/>
            </a:rPr>
            <a:t>Double down on marketing and inventory during peak months.</a:t>
          </a:r>
          <a:endParaRPr lang="en-US" sz="1400" b="0" i="0">
            <a:solidFill>
              <a:schemeClr val="tx2"/>
            </a:solidFill>
            <a:effectLst/>
            <a:latin typeface="Garamond" panose="02020404030301010803" pitchFamily="18" charset="0"/>
            <a:ea typeface="+mn-ea"/>
            <a:cs typeface="+mn-cs"/>
          </a:endParaRPr>
        </a:p>
      </xdr:txBody>
    </xdr:sp>
    <xdr:clientData/>
  </xdr:twoCellAnchor>
  <xdr:twoCellAnchor>
    <xdr:from>
      <xdr:col>14</xdr:col>
      <xdr:colOff>175558</xdr:colOff>
      <xdr:row>0</xdr:row>
      <xdr:rowOff>174172</xdr:rowOff>
    </xdr:from>
    <xdr:to>
      <xdr:col>28</xdr:col>
      <xdr:colOff>34043</xdr:colOff>
      <xdr:row>28</xdr:row>
      <xdr:rowOff>90910</xdr:rowOff>
    </xdr:to>
    <xdr:sp macro="" textlink="">
      <xdr:nvSpPr>
        <xdr:cNvPr id="5" name="Rectangle: Rounded Corners 4">
          <a:extLst>
            <a:ext uri="{FF2B5EF4-FFF2-40B4-BE49-F238E27FC236}">
              <a16:creationId xmlns:a16="http://schemas.microsoft.com/office/drawing/2014/main" id="{7D7D9F7F-AEC5-4944-967A-B8E47D0BF5A4}"/>
            </a:ext>
          </a:extLst>
        </xdr:cNvPr>
        <xdr:cNvSpPr/>
      </xdr:nvSpPr>
      <xdr:spPr>
        <a:xfrm>
          <a:off x="8631899" y="174172"/>
          <a:ext cx="8314827" cy="512064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i="0">
              <a:solidFill>
                <a:schemeClr val="tx2"/>
              </a:solidFill>
              <a:effectLst/>
              <a:latin typeface="Garamond" panose="02020404030301010803" pitchFamily="18" charset="0"/>
              <a:ea typeface="+mn-ea"/>
              <a:cs typeface="+mn-cs"/>
            </a:rPr>
            <a:t>Analysis - Top Ten Customers</a:t>
          </a:r>
        </a:p>
        <a:p>
          <a:pPr marL="0" indent="0" algn="l"/>
          <a:r>
            <a:rPr lang="en-US" sz="1400" b="0" i="0">
              <a:solidFill>
                <a:schemeClr val="tx2"/>
              </a:solidFill>
              <a:effectLst/>
              <a:latin typeface="Garamond" panose="02020404030301010803" pitchFamily="18" charset="0"/>
              <a:ea typeface="+mn-ea"/>
              <a:cs typeface="+mn-cs"/>
            </a:rPr>
            <a:t>Company D is the best performing customer with a revenue of $ 67,180.50 </a:t>
          </a:r>
        </a:p>
        <a:p>
          <a:pPr marL="0" indent="0" algn="l"/>
          <a:r>
            <a:rPr lang="en-US" sz="1400" b="0" i="0">
              <a:solidFill>
                <a:schemeClr val="tx2"/>
              </a:solidFill>
              <a:effectLst/>
              <a:latin typeface="Garamond" panose="02020404030301010803" pitchFamily="18" charset="0"/>
              <a:ea typeface="+mn-ea"/>
              <a:cs typeface="+mn-cs"/>
            </a:rPr>
            <a:t>Company H generated a revenue of $ 50,208.35</a:t>
          </a:r>
        </a:p>
        <a:p>
          <a:pPr marL="0" indent="0" algn="l"/>
          <a:r>
            <a:rPr lang="en-US" sz="1400" b="0" i="0">
              <a:solidFill>
                <a:schemeClr val="tx2"/>
              </a:solidFill>
              <a:effectLst/>
              <a:latin typeface="Garamond" panose="02020404030301010803" pitchFamily="18" charset="0"/>
              <a:ea typeface="+mn-ea"/>
              <a:cs typeface="+mn-cs"/>
            </a:rPr>
            <a:t>Company BB generated a revenue of $ 43,713.00  </a:t>
          </a:r>
        </a:p>
        <a:p>
          <a:pPr marL="0" indent="0" algn="l"/>
          <a:r>
            <a:rPr lang="en-US" sz="1400" b="0" i="0">
              <a:solidFill>
                <a:schemeClr val="tx2"/>
              </a:solidFill>
              <a:effectLst/>
              <a:latin typeface="Garamond" panose="02020404030301010803" pitchFamily="18" charset="0"/>
              <a:ea typeface="+mn-ea"/>
              <a:cs typeface="+mn-cs"/>
            </a:rPr>
            <a:t>Company F generated a revenue of $ 37,428.00 </a:t>
          </a:r>
        </a:p>
        <a:p>
          <a:pPr marL="0" indent="0" algn="l"/>
          <a:r>
            <a:rPr lang="en-US" sz="1400" b="0" i="0">
              <a:solidFill>
                <a:schemeClr val="tx2"/>
              </a:solidFill>
              <a:effectLst/>
              <a:latin typeface="Garamond" panose="02020404030301010803" pitchFamily="18" charset="0"/>
              <a:ea typeface="+mn-ea"/>
              <a:cs typeface="+mn-cs"/>
            </a:rPr>
            <a:t>Company A generated a revenue of $ 36,839.99 </a:t>
          </a:r>
        </a:p>
        <a:p>
          <a:pPr marL="0" indent="0" algn="l"/>
          <a:r>
            <a:rPr lang="en-US" sz="1400" b="0" i="0">
              <a:solidFill>
                <a:schemeClr val="tx2"/>
              </a:solidFill>
              <a:effectLst/>
              <a:latin typeface="Garamond" panose="02020404030301010803" pitchFamily="18" charset="0"/>
              <a:ea typeface="+mn-ea"/>
              <a:cs typeface="+mn-cs"/>
            </a:rPr>
            <a:t>Company I generated a revenue of $ 32,530.60 </a:t>
          </a:r>
        </a:p>
        <a:p>
          <a:pPr marL="0" indent="0" algn="l"/>
          <a:r>
            <a:rPr lang="en-US" sz="1400" b="0" i="0">
              <a:solidFill>
                <a:schemeClr val="tx2"/>
              </a:solidFill>
              <a:effectLst/>
              <a:latin typeface="Garamond" panose="02020404030301010803" pitchFamily="18" charset="0"/>
              <a:ea typeface="+mn-ea"/>
              <a:cs typeface="+mn-cs"/>
            </a:rPr>
            <a:t>Company J generated a revenue of $ 29,133.01 </a:t>
          </a:r>
        </a:p>
        <a:p>
          <a:pPr marL="0" indent="0" algn="l"/>
          <a:r>
            <a:rPr lang="en-US" sz="1400" b="0" i="0">
              <a:solidFill>
                <a:schemeClr val="tx2"/>
              </a:solidFill>
              <a:effectLst/>
              <a:latin typeface="Garamond" panose="02020404030301010803" pitchFamily="18" charset="0"/>
              <a:ea typeface="+mn-ea"/>
              <a:cs typeface="+mn-cs"/>
            </a:rPr>
            <a:t>Company Z generated a revenue of $ 28,208.25 </a:t>
          </a:r>
        </a:p>
        <a:p>
          <a:pPr marL="0" indent="0" algn="l"/>
          <a:r>
            <a:rPr lang="en-US" sz="1400" b="0" i="0">
              <a:solidFill>
                <a:schemeClr val="tx2"/>
              </a:solidFill>
              <a:effectLst/>
              <a:latin typeface="Garamond" panose="02020404030301010803" pitchFamily="18" charset="0"/>
              <a:ea typeface="+mn-ea"/>
              <a:cs typeface="+mn-cs"/>
            </a:rPr>
            <a:t>Company C generated a revenue of $ 27,005.38 </a:t>
          </a:r>
        </a:p>
        <a:p>
          <a:pPr marL="0" indent="0" algn="l"/>
          <a:r>
            <a:rPr lang="en-US" sz="1400" b="0" i="0">
              <a:solidFill>
                <a:schemeClr val="tx2"/>
              </a:solidFill>
              <a:effectLst/>
              <a:latin typeface="Garamond" panose="02020404030301010803" pitchFamily="18" charset="0"/>
              <a:ea typeface="+mn-ea"/>
              <a:cs typeface="+mn-cs"/>
            </a:rPr>
            <a:t>Company K is the least performing customer with a revenue of $ 21,937.08</a:t>
          </a:r>
          <a:r>
            <a:rPr lang="en-US" sz="1600" b="0" i="0">
              <a:solidFill>
                <a:schemeClr val="tx2"/>
              </a:solidFill>
              <a:effectLst/>
              <a:latin typeface="Garamond" panose="02020404030301010803" pitchFamily="18" charset="0"/>
              <a:ea typeface="+mn-ea"/>
              <a:cs typeface="+mn-cs"/>
            </a:rPr>
            <a:t> </a:t>
          </a:r>
        </a:p>
        <a:p>
          <a:pPr marL="0" indent="0" algn="l"/>
          <a:endParaRPr lang="en-US" sz="1800" b="0" i="0">
            <a:solidFill>
              <a:schemeClr val="tx2"/>
            </a:solidFill>
            <a:effectLst/>
            <a:latin typeface="Garamond" panose="02020404030301010803" pitchFamily="18" charset="0"/>
            <a:ea typeface="+mn-ea"/>
            <a:cs typeface="+mn-cs"/>
          </a:endParaRPr>
        </a:p>
        <a:p>
          <a:pPr marL="0" indent="0" algn="l"/>
          <a:r>
            <a:rPr lang="en-US" sz="1600" b="1" i="0">
              <a:solidFill>
                <a:schemeClr val="tx2"/>
              </a:solidFill>
              <a:effectLst/>
              <a:latin typeface="Garamond" panose="02020404030301010803" pitchFamily="18" charset="0"/>
              <a:ea typeface="+mn-ea"/>
              <a:cs typeface="+mn-cs"/>
            </a:rPr>
            <a:t>Pre-Insights</a:t>
          </a:r>
          <a:endParaRPr lang="en-US" sz="1800" b="1" i="0">
            <a:solidFill>
              <a:schemeClr val="tx2"/>
            </a:solidFill>
            <a:effectLst/>
            <a:latin typeface="Garamond" panose="02020404030301010803" pitchFamily="18" charset="0"/>
            <a:ea typeface="+mn-ea"/>
            <a:cs typeface="+mn-cs"/>
          </a:endParaRPr>
        </a:p>
        <a:p>
          <a:pPr marL="0" indent="0" algn="l"/>
          <a:r>
            <a:rPr lang="en-US" sz="1400" b="0" i="0">
              <a:solidFill>
                <a:schemeClr val="tx2"/>
              </a:solidFill>
              <a:effectLst/>
              <a:latin typeface="Garamond" panose="02020404030301010803" pitchFamily="18" charset="0"/>
              <a:ea typeface="+mn-ea"/>
              <a:cs typeface="+mn-cs"/>
            </a:rPr>
            <a:t>Top customers should be rewarded for their continued business.</a:t>
          </a:r>
        </a:p>
        <a:p>
          <a:pPr marL="0" indent="0" algn="l"/>
          <a:r>
            <a:rPr lang="en-US" sz="1400" b="0" i="0">
              <a:solidFill>
                <a:schemeClr val="tx2"/>
              </a:solidFill>
              <a:effectLst/>
              <a:latin typeface="Garamond" panose="02020404030301010803" pitchFamily="18" charset="0"/>
              <a:ea typeface="+mn-ea"/>
              <a:cs typeface="+mn-cs"/>
            </a:rPr>
            <a:t>The</a:t>
          </a:r>
          <a:r>
            <a:rPr lang="en-US" sz="1400" b="0" i="0" baseline="0">
              <a:solidFill>
                <a:schemeClr val="tx2"/>
              </a:solidFill>
              <a:effectLst/>
              <a:latin typeface="Garamond" panose="02020404030301010803" pitchFamily="18" charset="0"/>
              <a:ea typeface="+mn-ea"/>
              <a:cs typeface="+mn-cs"/>
            </a:rPr>
            <a:t> lease performing customers should be audited to identify root cause.</a:t>
          </a:r>
          <a:endParaRPr lang="en-US" sz="1400" b="0" i="0">
            <a:solidFill>
              <a:schemeClr val="tx2"/>
            </a:solidFill>
            <a:effectLst/>
            <a:latin typeface="Garamond" panose="02020404030301010803" pitchFamily="18" charset="0"/>
            <a:ea typeface="+mn-ea"/>
            <a:cs typeface="+mn-cs"/>
          </a:endParaRPr>
        </a:p>
        <a:p>
          <a:pPr marL="0" indent="0" algn="l"/>
          <a:r>
            <a:rPr lang="en-US" sz="1400" b="0" i="0">
              <a:solidFill>
                <a:schemeClr val="tx2"/>
              </a:solidFill>
              <a:effectLst/>
              <a:latin typeface="Garamond" panose="02020404030301010803" pitchFamily="18" charset="0"/>
              <a:ea typeface="+mn-ea"/>
              <a:cs typeface="+mn-cs"/>
            </a:rPr>
            <a:t>Offer incentives for referrals by customer.</a:t>
          </a:r>
        </a:p>
        <a:p>
          <a:pPr marL="0" indent="0" algn="l"/>
          <a:r>
            <a:rPr lang="en-US" sz="1400" b="0" i="0">
              <a:solidFill>
                <a:schemeClr val="tx2"/>
              </a:solidFill>
              <a:effectLst/>
              <a:latin typeface="Garamond" panose="02020404030301010803" pitchFamily="18" charset="0"/>
              <a:ea typeface="+mn-ea"/>
              <a:cs typeface="+mn-cs"/>
            </a:rPr>
            <a:t>Showcase customers' success stories (with their permission) in marketing materials.</a:t>
          </a:r>
        </a:p>
        <a:p>
          <a:pPr marL="0" indent="0" algn="l"/>
          <a:r>
            <a:rPr lang="en-US" sz="1400" b="0" i="0">
              <a:solidFill>
                <a:schemeClr val="tx2"/>
              </a:solidFill>
              <a:effectLst/>
              <a:latin typeface="Garamond" panose="02020404030301010803" pitchFamily="18" charset="0"/>
              <a:ea typeface="+mn-ea"/>
              <a:cs typeface="+mn-cs"/>
            </a:rPr>
            <a:t>Customized sales and service plans should be developed from the observations</a:t>
          </a:r>
          <a:r>
            <a:rPr lang="en-US" sz="1400" b="0" i="0" baseline="0">
              <a:solidFill>
                <a:schemeClr val="tx2"/>
              </a:solidFill>
              <a:effectLst/>
              <a:latin typeface="Garamond" panose="02020404030301010803" pitchFamily="18" charset="0"/>
              <a:ea typeface="+mn-ea"/>
              <a:cs typeface="+mn-cs"/>
            </a:rPr>
            <a:t> gathered from the </a:t>
          </a:r>
          <a:r>
            <a:rPr lang="en-US" sz="1400" b="0" i="0">
              <a:solidFill>
                <a:schemeClr val="tx2"/>
              </a:solidFill>
              <a:effectLst/>
              <a:latin typeface="Garamond" panose="02020404030301010803" pitchFamily="18" charset="0"/>
              <a:ea typeface="+mn-ea"/>
              <a:cs typeface="+mn-cs"/>
            </a:rPr>
            <a:t>top tier customers.</a:t>
          </a:r>
        </a:p>
        <a:p>
          <a:pPr marL="0" indent="0" algn="l"/>
          <a:r>
            <a:rPr lang="en-US" sz="1400" b="0" i="0">
              <a:solidFill>
                <a:schemeClr val="tx2"/>
              </a:solidFill>
              <a:effectLst/>
              <a:latin typeface="Garamond" panose="02020404030301010803" pitchFamily="18" charset="0"/>
              <a:ea typeface="+mn-ea"/>
              <a:cs typeface="+mn-cs"/>
            </a:rPr>
            <a:t>Allocate more recources</a:t>
          </a:r>
          <a:r>
            <a:rPr lang="en-US" sz="1400" b="0" i="0" baseline="0">
              <a:solidFill>
                <a:schemeClr val="tx2"/>
              </a:solidFill>
              <a:effectLst/>
              <a:latin typeface="Garamond" panose="02020404030301010803" pitchFamily="18" charset="0"/>
              <a:ea typeface="+mn-ea"/>
              <a:cs typeface="+mn-cs"/>
            </a:rPr>
            <a:t> to the least performing customers</a:t>
          </a:r>
          <a:endParaRPr lang="en-US" sz="1600" b="0" i="0">
            <a:solidFill>
              <a:schemeClr val="tx2"/>
            </a:solidFill>
            <a:effectLst/>
            <a:latin typeface="Garamond" panose="02020404030301010803" pitchFamily="18" charset="0"/>
            <a:ea typeface="+mn-ea"/>
            <a:cs typeface="+mn-cs"/>
          </a:endParaRPr>
        </a:p>
      </xdr:txBody>
    </xdr:sp>
    <xdr:clientData/>
  </xdr:twoCellAnchor>
  <xdr:twoCellAnchor>
    <xdr:from>
      <xdr:col>14</xdr:col>
      <xdr:colOff>226713</xdr:colOff>
      <xdr:row>29</xdr:row>
      <xdr:rowOff>138457</xdr:rowOff>
    </xdr:from>
    <xdr:to>
      <xdr:col>28</xdr:col>
      <xdr:colOff>82267</xdr:colOff>
      <xdr:row>57</xdr:row>
      <xdr:rowOff>9474</xdr:rowOff>
    </xdr:to>
    <xdr:sp macro="" textlink="">
      <xdr:nvSpPr>
        <xdr:cNvPr id="6" name="Rectangle: Rounded Corners 5">
          <a:extLst>
            <a:ext uri="{FF2B5EF4-FFF2-40B4-BE49-F238E27FC236}">
              <a16:creationId xmlns:a16="http://schemas.microsoft.com/office/drawing/2014/main" id="{E2BEEE52-2172-4D41-8959-B4575D15078C}"/>
            </a:ext>
          </a:extLst>
        </xdr:cNvPr>
        <xdr:cNvSpPr/>
      </xdr:nvSpPr>
      <xdr:spPr>
        <a:xfrm>
          <a:off x="8683054" y="5528213"/>
          <a:ext cx="8311896" cy="5074920"/>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i="0">
              <a:solidFill>
                <a:schemeClr val="bg1"/>
              </a:solidFill>
              <a:effectLst/>
              <a:latin typeface="Garamond" panose="02020404030301010803" pitchFamily="18" charset="0"/>
              <a:ea typeface="+mn-ea"/>
              <a:cs typeface="+mn-cs"/>
            </a:rPr>
            <a:t>Analysis - Product Category Performance over Time</a:t>
          </a:r>
        </a:p>
        <a:p>
          <a:pPr marL="0" indent="0" algn="l"/>
          <a:r>
            <a:rPr lang="en-US" sz="1400" b="0" i="0">
              <a:solidFill>
                <a:schemeClr val="bg1"/>
              </a:solidFill>
              <a:effectLst/>
              <a:latin typeface="Garamond" panose="02020404030301010803" pitchFamily="18" charset="0"/>
              <a:ea typeface="+mn-ea"/>
              <a:cs typeface="+mn-cs"/>
            </a:rPr>
            <a:t>Beverages is the best performing</a:t>
          </a:r>
          <a:r>
            <a:rPr lang="en-US" sz="1400" b="0" i="0" baseline="0">
              <a:solidFill>
                <a:schemeClr val="bg1"/>
              </a:solidFill>
              <a:effectLst/>
              <a:latin typeface="Garamond" panose="02020404030301010803" pitchFamily="18" charset="0"/>
              <a:ea typeface="+mn-ea"/>
              <a:cs typeface="+mn-cs"/>
            </a:rPr>
            <a:t> product category with</a:t>
          </a:r>
          <a:r>
            <a:rPr lang="en-US" sz="1400" b="0" i="0">
              <a:solidFill>
                <a:schemeClr val="bg1"/>
              </a:solidFill>
              <a:effectLst/>
              <a:latin typeface="Garamond" panose="02020404030301010803" pitchFamily="18" charset="0"/>
              <a:ea typeface="+mn-ea"/>
              <a:cs typeface="+mn-cs"/>
            </a:rPr>
            <a:t> a revenue of $ 110,577.11 </a:t>
          </a:r>
        </a:p>
        <a:p>
          <a:pPr marL="0" indent="0" algn="l"/>
          <a:r>
            <a:rPr lang="en-US" sz="1400" b="0" i="0">
              <a:solidFill>
                <a:schemeClr val="bg1"/>
              </a:solidFill>
              <a:effectLst/>
              <a:latin typeface="Garamond" panose="02020404030301010803" pitchFamily="18" charset="0"/>
              <a:ea typeface="+mn-ea"/>
              <a:cs typeface="+mn-cs"/>
            </a:rPr>
            <a:t>Sauces is the second performing product category with a revenue of $ 69,000.00 </a:t>
          </a:r>
        </a:p>
        <a:p>
          <a:pPr marL="0" indent="0" algn="l"/>
          <a:r>
            <a:rPr lang="en-US" sz="1400" b="0" i="0">
              <a:solidFill>
                <a:schemeClr val="bg1"/>
              </a:solidFill>
              <a:effectLst/>
              <a:latin typeface="Garamond" panose="02020404030301010803" pitchFamily="18" charset="0"/>
              <a:ea typeface="+mn-ea"/>
              <a:cs typeface="+mn-cs"/>
            </a:rPr>
            <a:t>Jams, Preserves is the third performing product category</a:t>
          </a:r>
          <a:r>
            <a:rPr lang="en-US" sz="1400" b="0" i="0" baseline="0">
              <a:solidFill>
                <a:schemeClr val="bg1"/>
              </a:solidFill>
              <a:effectLst/>
              <a:latin typeface="Garamond" panose="02020404030301010803" pitchFamily="18" charset="0"/>
              <a:ea typeface="+mn-ea"/>
              <a:cs typeface="+mn-cs"/>
            </a:rPr>
            <a:t> </a:t>
          </a:r>
          <a:r>
            <a:rPr lang="en-US" sz="1400" b="0" i="0">
              <a:solidFill>
                <a:schemeClr val="bg1"/>
              </a:solidFill>
              <a:effectLst/>
              <a:latin typeface="Garamond" panose="02020404030301010803" pitchFamily="18" charset="0"/>
              <a:ea typeface="+mn-ea"/>
              <a:cs typeface="+mn-cs"/>
            </a:rPr>
            <a:t>with a revenue of $ 51,541.00 </a:t>
          </a:r>
        </a:p>
        <a:p>
          <a:pPr marL="0" indent="0" algn="l"/>
          <a:r>
            <a:rPr lang="en-US" sz="1400" b="0" i="0">
              <a:solidFill>
                <a:schemeClr val="bg1"/>
              </a:solidFill>
              <a:effectLst/>
              <a:latin typeface="Garamond" panose="02020404030301010803" pitchFamily="18" charset="0"/>
              <a:ea typeface="+mn-ea"/>
              <a:cs typeface="+mn-cs"/>
            </a:rPr>
            <a:t>Dairy Products is the fourth performing product category with a revenue of $ 33,129.60 </a:t>
          </a:r>
        </a:p>
        <a:p>
          <a:pPr marL="0" indent="0" algn="l"/>
          <a:r>
            <a:rPr lang="en-US" sz="1400" b="0" i="0">
              <a:solidFill>
                <a:schemeClr val="bg1"/>
              </a:solidFill>
              <a:effectLst/>
              <a:latin typeface="Garamond" panose="02020404030301010803" pitchFamily="18" charset="0"/>
              <a:ea typeface="+mn-ea"/>
              <a:cs typeface="+mn-cs"/>
            </a:rPr>
            <a:t>Dried Fruit &amp; Nuts is the fifth performing product category with a revenue of $ 27,999.50 </a:t>
          </a:r>
        </a:p>
        <a:p>
          <a:pPr marL="0" indent="0" algn="l"/>
          <a:r>
            <a:rPr lang="en-US" sz="1400" b="0" i="0">
              <a:solidFill>
                <a:schemeClr val="bg1"/>
              </a:solidFill>
              <a:effectLst/>
              <a:latin typeface="Garamond" panose="02020404030301010803" pitchFamily="18" charset="0"/>
              <a:ea typeface="+mn-ea"/>
              <a:cs typeface="+mn-cs"/>
            </a:rPr>
            <a:t>Canned Meat</a:t>
          </a:r>
          <a:r>
            <a:rPr lang="en-US" sz="1400" b="0" i="0" baseline="0">
              <a:solidFill>
                <a:schemeClr val="bg1"/>
              </a:solidFill>
              <a:effectLst/>
              <a:latin typeface="Garamond" panose="02020404030301010803" pitchFamily="18" charset="0"/>
              <a:ea typeface="+mn-ea"/>
              <a:cs typeface="+mn-cs"/>
            </a:rPr>
            <a:t> is the lowest performing product with a revenue of </a:t>
          </a:r>
          <a:r>
            <a:rPr lang="en-US" sz="1400" b="0" i="0">
              <a:solidFill>
                <a:schemeClr val="bg1"/>
              </a:solidFill>
              <a:effectLst/>
              <a:latin typeface="Garamond" panose="02020404030301010803" pitchFamily="18" charset="0"/>
              <a:ea typeface="+mn-ea"/>
              <a:cs typeface="+mn-cs"/>
            </a:rPr>
            <a:t>$ 25,465.60.</a:t>
          </a:r>
          <a:br>
            <a:rPr lang="en-US" sz="1400" b="0" i="0">
              <a:solidFill>
                <a:schemeClr val="bg1"/>
              </a:solidFill>
              <a:effectLst/>
              <a:latin typeface="Garamond" panose="02020404030301010803" pitchFamily="18" charset="0"/>
              <a:ea typeface="+mn-ea"/>
              <a:cs typeface="+mn-cs"/>
            </a:rPr>
          </a:br>
          <a:r>
            <a:rPr lang="en-US" sz="1400" b="0" i="0">
              <a:solidFill>
                <a:schemeClr val="bg1"/>
              </a:solidFill>
              <a:effectLst/>
              <a:latin typeface="Garamond" panose="02020404030301010803" pitchFamily="18" charset="0"/>
              <a:ea typeface="+mn-ea"/>
              <a:cs typeface="+mn-cs"/>
            </a:rPr>
            <a:t>The gap between Beverages and the lowest (Canned Meat) is</a:t>
          </a:r>
          <a:r>
            <a:rPr lang="en-US" sz="1400" b="0" i="0" baseline="0">
              <a:solidFill>
                <a:schemeClr val="bg1"/>
              </a:solidFill>
              <a:effectLst/>
              <a:latin typeface="Garamond" panose="02020404030301010803" pitchFamily="18" charset="0"/>
              <a:ea typeface="+mn-ea"/>
              <a:cs typeface="+mn-cs"/>
            </a:rPr>
            <a:t> $ </a:t>
          </a:r>
          <a:r>
            <a:rPr lang="en-US" sz="1400" b="0" i="0">
              <a:solidFill>
                <a:schemeClr val="bg1"/>
              </a:solidFill>
              <a:effectLst/>
              <a:latin typeface="Garamond" panose="02020404030301010803" pitchFamily="18" charset="0"/>
              <a:ea typeface="+mn-ea"/>
              <a:cs typeface="+mn-cs"/>
            </a:rPr>
            <a:t>85,111.51.</a:t>
          </a:r>
        </a:p>
        <a:p>
          <a:pPr marL="0" indent="0" algn="l"/>
          <a:endParaRPr lang="en-US" sz="1800" b="0" i="0">
            <a:solidFill>
              <a:schemeClr val="bg1"/>
            </a:solidFill>
            <a:effectLst/>
            <a:latin typeface="Garamond" panose="02020404030301010803" pitchFamily="18" charset="0"/>
            <a:ea typeface="+mn-ea"/>
            <a:cs typeface="+mn-cs"/>
          </a:endParaRPr>
        </a:p>
        <a:p>
          <a:pPr marL="0" indent="0" algn="l"/>
          <a:r>
            <a:rPr lang="en-US" sz="1600" b="1" i="0">
              <a:solidFill>
                <a:schemeClr val="bg1"/>
              </a:solidFill>
              <a:effectLst/>
              <a:latin typeface="Garamond" panose="02020404030301010803" pitchFamily="18" charset="0"/>
              <a:ea typeface="+mn-ea"/>
              <a:cs typeface="+mn-cs"/>
            </a:rPr>
            <a:t>Pre-Insights</a:t>
          </a:r>
          <a:endParaRPr lang="en-US" sz="1800" b="1" i="0">
            <a:solidFill>
              <a:schemeClr val="bg1"/>
            </a:solidFill>
            <a:effectLst/>
            <a:latin typeface="Garamond" panose="02020404030301010803" pitchFamily="18" charset="0"/>
            <a:ea typeface="+mn-ea"/>
            <a:cs typeface="+mn-cs"/>
          </a:endParaRPr>
        </a:p>
        <a:p>
          <a:pPr marL="0" indent="0" algn="l"/>
          <a:r>
            <a:rPr lang="en-US" sz="1400" b="0" i="0">
              <a:solidFill>
                <a:schemeClr val="bg1"/>
              </a:solidFill>
              <a:effectLst/>
              <a:latin typeface="Garamond" panose="02020404030301010803" pitchFamily="18" charset="0"/>
              <a:ea typeface="+mn-ea"/>
              <a:cs typeface="+mn-cs"/>
            </a:rPr>
            <a:t>Promotions</a:t>
          </a:r>
          <a:r>
            <a:rPr lang="en-US" sz="1400" b="0" i="0" baseline="0">
              <a:solidFill>
                <a:schemeClr val="bg1"/>
              </a:solidFill>
              <a:effectLst/>
              <a:latin typeface="Garamond" panose="02020404030301010803" pitchFamily="18" charset="0"/>
              <a:ea typeface="+mn-ea"/>
              <a:cs typeface="+mn-cs"/>
            </a:rPr>
            <a:t> should be organised for product category producing less revenue.</a:t>
          </a:r>
          <a:br>
            <a:rPr lang="en-US" sz="1400" b="0" i="0" baseline="0">
              <a:solidFill>
                <a:schemeClr val="bg1"/>
              </a:solidFill>
              <a:effectLst/>
              <a:latin typeface="Garamond" panose="02020404030301010803" pitchFamily="18" charset="0"/>
              <a:ea typeface="+mn-ea"/>
              <a:cs typeface="+mn-cs"/>
            </a:rPr>
          </a:br>
          <a:r>
            <a:rPr lang="en-US" sz="1400" b="0" i="0" baseline="0">
              <a:solidFill>
                <a:schemeClr val="bg1"/>
              </a:solidFill>
              <a:effectLst/>
              <a:latin typeface="Garamond" panose="02020404030301010803" pitchFamily="18" charset="0"/>
              <a:ea typeface="+mn-ea"/>
              <a:cs typeface="+mn-cs"/>
            </a:rPr>
            <a:t>Increase visibility and demand for under performing products.</a:t>
          </a:r>
          <a:br>
            <a:rPr lang="en-US" sz="1400" b="0" i="0" baseline="0">
              <a:solidFill>
                <a:schemeClr val="bg1"/>
              </a:solidFill>
              <a:effectLst/>
              <a:latin typeface="Garamond" panose="02020404030301010803" pitchFamily="18" charset="0"/>
              <a:ea typeface="+mn-ea"/>
              <a:cs typeface="+mn-cs"/>
            </a:rPr>
          </a:br>
          <a:r>
            <a:rPr lang="en-US" sz="1400" b="0" i="0" baseline="0">
              <a:solidFill>
                <a:schemeClr val="bg1"/>
              </a:solidFill>
              <a:effectLst/>
              <a:latin typeface="Garamond" panose="02020404030301010803" pitchFamily="18" charset="0"/>
              <a:ea typeface="+mn-ea"/>
              <a:cs typeface="+mn-cs"/>
            </a:rPr>
            <a:t>Understand the buying patterns and objections of customers.</a:t>
          </a:r>
        </a:p>
        <a:p>
          <a:pPr marL="0" indent="0" algn="l"/>
          <a:endParaRPr lang="en-US" sz="1400" b="0" i="0">
            <a:solidFill>
              <a:schemeClr val="bg1"/>
            </a:solidFill>
            <a:effectLst/>
            <a:latin typeface="Garamond" panose="02020404030301010803" pitchFamily="18" charset="0"/>
            <a:ea typeface="+mn-ea"/>
            <a:cs typeface="+mn-cs"/>
          </a:endParaRPr>
        </a:p>
        <a:p>
          <a:pPr marL="0" indent="0" algn="l"/>
          <a:endParaRPr lang="en-US" sz="1600" b="0" i="0">
            <a:solidFill>
              <a:schemeClr val="bg1"/>
            </a:solidFill>
            <a:effectLst/>
            <a:latin typeface="Garamond" panose="02020404030301010803" pitchFamily="18" charset="0"/>
            <a:ea typeface="+mn-ea"/>
            <a:cs typeface="+mn-cs"/>
          </a:endParaRPr>
        </a:p>
      </xdr:txBody>
    </xdr:sp>
    <xdr:clientData/>
  </xdr:twoCellAnchor>
  <xdr:twoCellAnchor>
    <xdr:from>
      <xdr:col>28</xdr:col>
      <xdr:colOff>247356</xdr:colOff>
      <xdr:row>1</xdr:row>
      <xdr:rowOff>464</xdr:rowOff>
    </xdr:from>
    <xdr:to>
      <xdr:col>42</xdr:col>
      <xdr:colOff>102911</xdr:colOff>
      <xdr:row>28</xdr:row>
      <xdr:rowOff>103056</xdr:rowOff>
    </xdr:to>
    <xdr:sp macro="" textlink="">
      <xdr:nvSpPr>
        <xdr:cNvPr id="7" name="Rectangle: Rounded Corners 6">
          <a:extLst>
            <a:ext uri="{FF2B5EF4-FFF2-40B4-BE49-F238E27FC236}">
              <a16:creationId xmlns:a16="http://schemas.microsoft.com/office/drawing/2014/main" id="{CA50C2BB-1F1A-484F-BC6A-121CE9948CC0}"/>
            </a:ext>
          </a:extLst>
        </xdr:cNvPr>
        <xdr:cNvSpPr/>
      </xdr:nvSpPr>
      <xdr:spPr>
        <a:xfrm>
          <a:off x="17160039" y="186318"/>
          <a:ext cx="8311896" cy="5120640"/>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i="0">
              <a:solidFill>
                <a:schemeClr val="bg1"/>
              </a:solidFill>
              <a:effectLst/>
              <a:latin typeface="Garamond" panose="02020404030301010803" pitchFamily="18" charset="0"/>
              <a:ea typeface="+mn-ea"/>
              <a:cs typeface="+mn-cs"/>
            </a:rPr>
            <a:t>Analysis - Sales Performance Analysis by Region</a:t>
          </a:r>
          <a:endParaRPr lang="en-US" sz="1800" b="1" i="0">
            <a:solidFill>
              <a:schemeClr val="bg1"/>
            </a:solidFill>
            <a:effectLst/>
            <a:latin typeface="Garamond" panose="02020404030301010803" pitchFamily="18" charset="0"/>
            <a:ea typeface="+mn-ea"/>
            <a:cs typeface="+mn-cs"/>
          </a:endParaRPr>
        </a:p>
        <a:p>
          <a:pPr marL="0" indent="0" algn="l"/>
          <a:r>
            <a:rPr lang="en-US" sz="1400" b="0" i="0">
              <a:solidFill>
                <a:schemeClr val="bg1"/>
              </a:solidFill>
              <a:effectLst/>
              <a:latin typeface="Garamond" panose="02020404030301010803" pitchFamily="18" charset="0"/>
              <a:ea typeface="+mn-ea"/>
              <a:cs typeface="+mn-cs"/>
            </a:rPr>
            <a:t>North emerges as the best performing region with a revenue of $ 141,680.34 </a:t>
          </a:r>
        </a:p>
        <a:p>
          <a:pPr marL="0" indent="0" algn="l"/>
          <a:r>
            <a:rPr lang="en-US" sz="1400" b="0" i="0">
              <a:solidFill>
                <a:schemeClr val="bg1"/>
              </a:solidFill>
              <a:effectLst/>
              <a:latin typeface="Garamond" panose="02020404030301010803" pitchFamily="18" charset="0"/>
              <a:ea typeface="+mn-ea"/>
              <a:cs typeface="+mn-cs"/>
            </a:rPr>
            <a:t>East generated a revenue of $ 108,275.51 </a:t>
          </a:r>
        </a:p>
        <a:p>
          <a:pPr marL="0" indent="0" algn="l"/>
          <a:r>
            <a:rPr lang="en-US" sz="1400" b="0" i="0">
              <a:solidFill>
                <a:schemeClr val="bg1"/>
              </a:solidFill>
              <a:effectLst/>
              <a:latin typeface="Garamond" panose="02020404030301010803" pitchFamily="18" charset="0"/>
              <a:ea typeface="+mn-ea"/>
              <a:cs typeface="+mn-cs"/>
            </a:rPr>
            <a:t>South generated a revenue of $ 93,858.33 </a:t>
          </a:r>
        </a:p>
        <a:p>
          <a:pPr marL="0" indent="0" algn="l"/>
          <a:r>
            <a:rPr lang="en-US" sz="1400" b="0" i="0">
              <a:solidFill>
                <a:schemeClr val="bg1"/>
              </a:solidFill>
              <a:effectLst/>
              <a:latin typeface="Garamond" panose="02020404030301010803" pitchFamily="18" charset="0"/>
              <a:ea typeface="+mn-ea"/>
              <a:cs typeface="+mn-cs"/>
            </a:rPr>
            <a:t>West is the least performing region with a revenue of $ 91,251.98 </a:t>
          </a:r>
        </a:p>
        <a:p>
          <a:pPr marL="0" indent="0" algn="l"/>
          <a:endParaRPr lang="en-US" sz="1800" b="0" i="0">
            <a:solidFill>
              <a:schemeClr val="bg1"/>
            </a:solidFill>
            <a:effectLst/>
            <a:latin typeface="Garamond" panose="02020404030301010803" pitchFamily="18" charset="0"/>
            <a:ea typeface="+mn-ea"/>
            <a:cs typeface="+mn-cs"/>
          </a:endParaRPr>
        </a:p>
        <a:p>
          <a:pPr marL="0" indent="0" algn="l"/>
          <a:r>
            <a:rPr lang="en-US" sz="1600" b="1" i="0">
              <a:solidFill>
                <a:schemeClr val="bg1"/>
              </a:solidFill>
              <a:effectLst/>
              <a:latin typeface="Garamond" panose="02020404030301010803" pitchFamily="18" charset="0"/>
              <a:ea typeface="+mn-ea"/>
              <a:cs typeface="+mn-cs"/>
            </a:rPr>
            <a:t>Pre-Insights</a:t>
          </a:r>
          <a:endParaRPr lang="en-US" sz="1800" b="1" i="0">
            <a:solidFill>
              <a:schemeClr val="bg1"/>
            </a:solidFill>
            <a:effectLst/>
            <a:latin typeface="Garamond" panose="02020404030301010803" pitchFamily="18" charset="0"/>
            <a:ea typeface="+mn-ea"/>
            <a:cs typeface="+mn-cs"/>
          </a:endParaRPr>
        </a:p>
        <a:p>
          <a:pPr marL="0" indent="0" algn="l"/>
          <a:r>
            <a:rPr lang="en-US" sz="1400" b="0" i="0">
              <a:solidFill>
                <a:schemeClr val="bg1"/>
              </a:solidFill>
              <a:effectLst/>
              <a:latin typeface="Garamond" panose="02020404030301010803" pitchFamily="18" charset="0"/>
              <a:ea typeface="+mn-ea"/>
              <a:cs typeface="+mn-cs"/>
            </a:rPr>
            <a:t>Sales pattern should be audited in the West to identify the root cause of low revenue</a:t>
          </a:r>
        </a:p>
        <a:p>
          <a:pPr marL="0" indent="0" algn="l"/>
          <a:r>
            <a:rPr lang="en-US" sz="1400" b="0" i="0">
              <a:solidFill>
                <a:schemeClr val="bg1"/>
              </a:solidFill>
              <a:effectLst/>
              <a:latin typeface="Garamond" panose="02020404030301010803" pitchFamily="18" charset="0"/>
              <a:ea typeface="+mn-ea"/>
              <a:cs typeface="+mn-cs"/>
            </a:rPr>
            <a:t>Strategies used in the North should be implemented in the West</a:t>
          </a:r>
        </a:p>
        <a:p>
          <a:pPr marL="0" indent="0" algn="l"/>
          <a:r>
            <a:rPr lang="en-US" sz="1400" b="0" i="0">
              <a:solidFill>
                <a:schemeClr val="bg1"/>
              </a:solidFill>
              <a:effectLst/>
              <a:latin typeface="Garamond" panose="02020404030301010803" pitchFamily="18" charset="0"/>
              <a:ea typeface="+mn-ea"/>
              <a:cs typeface="+mn-cs"/>
            </a:rPr>
            <a:t>Allocate more recources to the least performing region</a:t>
          </a:r>
        </a:p>
        <a:p>
          <a:pPr marL="0" indent="0" algn="l"/>
          <a:r>
            <a:rPr lang="en-US" sz="1400" b="0" i="0">
              <a:solidFill>
                <a:schemeClr val="bg1"/>
              </a:solidFill>
              <a:effectLst/>
              <a:latin typeface="Garamond" panose="02020404030301010803" pitchFamily="18" charset="0"/>
              <a:ea typeface="+mn-ea"/>
              <a:cs typeface="+mn-cs"/>
            </a:rPr>
            <a:t>Advertisement or promotions should be</a:t>
          </a:r>
          <a:r>
            <a:rPr lang="en-US" sz="1400" b="0" i="0" baseline="0">
              <a:solidFill>
                <a:schemeClr val="bg1"/>
              </a:solidFill>
              <a:effectLst/>
              <a:latin typeface="Garamond" panose="02020404030301010803" pitchFamily="18" charset="0"/>
              <a:ea typeface="+mn-ea"/>
              <a:cs typeface="+mn-cs"/>
            </a:rPr>
            <a:t> considered more in the West.</a:t>
          </a:r>
          <a:endParaRPr lang="en-US" sz="1400" b="0" i="0">
            <a:solidFill>
              <a:schemeClr val="bg1"/>
            </a:solidFill>
            <a:effectLst/>
            <a:latin typeface="Garamond" panose="02020404030301010803" pitchFamily="18" charset="0"/>
            <a:ea typeface="+mn-ea"/>
            <a:cs typeface="+mn-cs"/>
          </a:endParaRPr>
        </a:p>
        <a:p>
          <a:pPr marL="0" indent="0" algn="l"/>
          <a:endParaRPr lang="en-US" sz="1600" b="0" i="0">
            <a:solidFill>
              <a:schemeClr val="bg1"/>
            </a:solidFill>
            <a:effectLst/>
            <a:latin typeface="Garamond" panose="02020404030301010803" pitchFamily="18" charset="0"/>
            <a:ea typeface="+mn-ea"/>
            <a:cs typeface="+mn-cs"/>
          </a:endParaRPr>
        </a:p>
      </xdr:txBody>
    </xdr:sp>
    <xdr:clientData/>
  </xdr:twoCellAnchor>
  <xdr:twoCellAnchor>
    <xdr:from>
      <xdr:col>28</xdr:col>
      <xdr:colOff>333928</xdr:colOff>
      <xdr:row>29</xdr:row>
      <xdr:rowOff>120137</xdr:rowOff>
    </xdr:from>
    <xdr:to>
      <xdr:col>42</xdr:col>
      <xdr:colOff>192413</xdr:colOff>
      <xdr:row>57</xdr:row>
      <xdr:rowOff>36874</xdr:rowOff>
    </xdr:to>
    <xdr:sp macro="" textlink="">
      <xdr:nvSpPr>
        <xdr:cNvPr id="8" name="Rectangle: Rounded Corners 7">
          <a:extLst>
            <a:ext uri="{FF2B5EF4-FFF2-40B4-BE49-F238E27FC236}">
              <a16:creationId xmlns:a16="http://schemas.microsoft.com/office/drawing/2014/main" id="{45984249-2AA1-411A-9014-6344B19B080D}"/>
            </a:ext>
          </a:extLst>
        </xdr:cNvPr>
        <xdr:cNvSpPr/>
      </xdr:nvSpPr>
      <xdr:spPr>
        <a:xfrm>
          <a:off x="17246611" y="5509893"/>
          <a:ext cx="8314826" cy="512064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i="0">
              <a:solidFill>
                <a:schemeClr val="tx2"/>
              </a:solidFill>
              <a:effectLst/>
              <a:latin typeface="Garamond" panose="02020404030301010803" pitchFamily="18" charset="0"/>
              <a:ea typeface="+mn-ea"/>
              <a:cs typeface="+mn-cs"/>
            </a:rPr>
            <a:t>Analysis - Transaction by Amount</a:t>
          </a:r>
        </a:p>
        <a:p>
          <a:pPr marL="0" indent="0" algn="l"/>
          <a:r>
            <a:rPr lang="en-US" sz="1400" b="0" i="0">
              <a:solidFill>
                <a:schemeClr val="tx2"/>
              </a:solidFill>
              <a:effectLst/>
              <a:latin typeface="Garamond" panose="02020404030301010803" pitchFamily="18" charset="0"/>
              <a:ea typeface="+mn-ea"/>
              <a:cs typeface="+mn-cs"/>
            </a:rPr>
            <a:t>Transactions</a:t>
          </a:r>
          <a:r>
            <a:rPr lang="en-US" sz="1400" b="0" i="0" baseline="0">
              <a:solidFill>
                <a:schemeClr val="tx2"/>
              </a:solidFill>
              <a:effectLst/>
              <a:latin typeface="Garamond" panose="02020404030301010803" pitchFamily="18" charset="0"/>
              <a:ea typeface="+mn-ea"/>
              <a:cs typeface="+mn-cs"/>
            </a:rPr>
            <a:t> ranging from </a:t>
          </a:r>
          <a:r>
            <a:rPr lang="en-US" sz="1400" b="0" i="0">
              <a:solidFill>
                <a:schemeClr val="tx2"/>
              </a:solidFill>
              <a:effectLst/>
              <a:latin typeface="Garamond" panose="02020404030301010803" pitchFamily="18" charset="0"/>
              <a:ea typeface="+mn-ea"/>
              <a:cs typeface="+mn-cs"/>
            </a:rPr>
            <a:t>0-1000 has the highest count of revenue at 218.</a:t>
          </a:r>
        </a:p>
        <a:p>
          <a:pPr marL="0" indent="0" algn="l"/>
          <a:r>
            <a:rPr lang="en-US" sz="1400" b="0" i="0">
              <a:solidFill>
                <a:schemeClr val="tx2"/>
              </a:solidFill>
              <a:effectLst/>
              <a:latin typeface="Garamond" panose="02020404030301010803" pitchFamily="18" charset="0"/>
              <a:ea typeface="+mn-ea"/>
              <a:cs typeface="+mn-cs"/>
            </a:rPr>
            <a:t>Transactions ranging from 1000-2000 has</a:t>
          </a:r>
          <a:r>
            <a:rPr lang="en-US" sz="1400" b="0" i="0" baseline="0">
              <a:solidFill>
                <a:schemeClr val="tx2"/>
              </a:solidFill>
              <a:effectLst/>
              <a:latin typeface="Garamond" panose="02020404030301010803" pitchFamily="18" charset="0"/>
              <a:ea typeface="+mn-ea"/>
              <a:cs typeface="+mn-cs"/>
            </a:rPr>
            <a:t> a</a:t>
          </a:r>
          <a:r>
            <a:rPr lang="en-US" sz="1400" b="0" i="0">
              <a:solidFill>
                <a:schemeClr val="tx2"/>
              </a:solidFill>
              <a:effectLst/>
              <a:latin typeface="Garamond" panose="02020404030301010803" pitchFamily="18" charset="0"/>
              <a:ea typeface="+mn-ea"/>
              <a:cs typeface="+mn-cs"/>
            </a:rPr>
            <a:t> count of revenue at 85 </a:t>
          </a:r>
        </a:p>
        <a:p>
          <a:pPr marL="0" indent="0" algn="l"/>
          <a:r>
            <a:rPr lang="en-US" sz="1400" b="0" i="0">
              <a:solidFill>
                <a:schemeClr val="tx2"/>
              </a:solidFill>
              <a:effectLst/>
              <a:latin typeface="Garamond" panose="02020404030301010803" pitchFamily="18" charset="0"/>
              <a:ea typeface="+mn-ea"/>
              <a:cs typeface="+mn-cs"/>
            </a:rPr>
            <a:t>Transactions ranging from 2000-3000 has a count of revenue at 31 </a:t>
          </a:r>
        </a:p>
        <a:p>
          <a:pPr marL="0" indent="0" algn="l"/>
          <a:r>
            <a:rPr lang="en-US" sz="1400" b="0" i="0">
              <a:solidFill>
                <a:schemeClr val="tx2"/>
              </a:solidFill>
              <a:effectLst/>
              <a:latin typeface="Garamond" panose="02020404030301010803" pitchFamily="18" charset="0"/>
              <a:ea typeface="+mn-ea"/>
              <a:cs typeface="+mn-cs"/>
            </a:rPr>
            <a:t>Transactions ranging from 3000-4000 has a count of revenue at 24 </a:t>
          </a:r>
        </a:p>
        <a:p>
          <a:pPr marL="0" indent="0" algn="l"/>
          <a:r>
            <a:rPr lang="en-US" sz="1400" b="0" i="0">
              <a:solidFill>
                <a:schemeClr val="tx2"/>
              </a:solidFill>
              <a:effectLst/>
              <a:latin typeface="Garamond" panose="02020404030301010803" pitchFamily="18" charset="0"/>
              <a:ea typeface="+mn-ea"/>
              <a:cs typeface="+mn-cs"/>
            </a:rPr>
            <a:t>Transactions ranging from 4000-5000 has a count of revenue at 8 </a:t>
          </a:r>
        </a:p>
        <a:p>
          <a:pPr marL="0" indent="0" algn="l"/>
          <a:r>
            <a:rPr lang="en-US" sz="1400" b="0" i="0">
              <a:solidFill>
                <a:schemeClr val="tx2"/>
              </a:solidFill>
              <a:effectLst/>
              <a:latin typeface="Garamond" panose="02020404030301010803" pitchFamily="18" charset="0"/>
              <a:ea typeface="+mn-ea"/>
              <a:cs typeface="+mn-cs"/>
            </a:rPr>
            <a:t>Transactions ranging from 6000-7000 has a count of revenue at 2  </a:t>
          </a:r>
        </a:p>
        <a:p>
          <a:pPr marL="0" indent="0" algn="l"/>
          <a:r>
            <a:rPr lang="en-US" sz="1400" b="0" i="0">
              <a:solidFill>
                <a:schemeClr val="tx2"/>
              </a:solidFill>
              <a:effectLst/>
              <a:latin typeface="Garamond" panose="02020404030301010803" pitchFamily="18" charset="0"/>
              <a:ea typeface="+mn-ea"/>
              <a:cs typeface="+mn-cs"/>
            </a:rPr>
            <a:t>Transactions ranging from 7000-8000 has the lowest count of revenue at 1</a:t>
          </a:r>
        </a:p>
        <a:p>
          <a:pPr marL="0" indent="0" algn="l"/>
          <a:r>
            <a:rPr lang="en-US" sz="1400" b="0" i="0">
              <a:solidFill>
                <a:schemeClr val="tx2"/>
              </a:solidFill>
              <a:effectLst/>
              <a:latin typeface="Garamond" panose="02020404030301010803" pitchFamily="18" charset="0"/>
              <a:ea typeface="+mn-ea"/>
              <a:cs typeface="+mn-cs"/>
            </a:rPr>
            <a:t>There</a:t>
          </a:r>
          <a:r>
            <a:rPr lang="en-US" sz="1400" b="0" i="0" baseline="0">
              <a:solidFill>
                <a:schemeClr val="tx2"/>
              </a:solidFill>
              <a:effectLst/>
              <a:latin typeface="Garamond" panose="02020404030301010803" pitchFamily="18" charset="0"/>
              <a:ea typeface="+mn-ea"/>
              <a:cs typeface="+mn-cs"/>
            </a:rPr>
            <a:t> appears to be a decline in</a:t>
          </a:r>
          <a:r>
            <a:rPr lang="en-US" sz="1400" b="0" i="0">
              <a:solidFill>
                <a:schemeClr val="tx2"/>
              </a:solidFill>
              <a:effectLst/>
              <a:latin typeface="Garamond" panose="02020404030301010803" pitchFamily="18" charset="0"/>
              <a:ea typeface="+mn-ea"/>
              <a:cs typeface="+mn-cs"/>
            </a:rPr>
            <a:t> count of revenue as the transaction range increases</a:t>
          </a:r>
        </a:p>
        <a:p>
          <a:pPr marL="0" indent="0" algn="l"/>
          <a:endParaRPr lang="en-US" sz="1800" b="0" i="0">
            <a:solidFill>
              <a:schemeClr val="tx2"/>
            </a:solidFill>
            <a:effectLst/>
            <a:latin typeface="Garamond" panose="02020404030301010803" pitchFamily="18" charset="0"/>
            <a:ea typeface="+mn-ea"/>
            <a:cs typeface="+mn-cs"/>
          </a:endParaRPr>
        </a:p>
        <a:p>
          <a:pPr marL="0" indent="0" algn="l"/>
          <a:r>
            <a:rPr lang="en-US" sz="1600" b="1" i="0">
              <a:solidFill>
                <a:schemeClr val="tx2"/>
              </a:solidFill>
              <a:effectLst/>
              <a:latin typeface="Garamond" panose="02020404030301010803" pitchFamily="18" charset="0"/>
              <a:ea typeface="+mn-ea"/>
              <a:cs typeface="+mn-cs"/>
            </a:rPr>
            <a:t>Pre-Insights</a:t>
          </a:r>
          <a:endParaRPr lang="en-US" sz="1800" b="1" i="0">
            <a:solidFill>
              <a:schemeClr val="tx2"/>
            </a:solidFill>
            <a:effectLst/>
            <a:latin typeface="Garamond" panose="02020404030301010803" pitchFamily="18" charset="0"/>
            <a:ea typeface="+mn-ea"/>
            <a:cs typeface="+mn-cs"/>
          </a:endParaRPr>
        </a:p>
        <a:p>
          <a:pPr marL="0" indent="0" algn="l"/>
          <a:r>
            <a:rPr lang="en-US" sz="1400" b="0" i="0">
              <a:solidFill>
                <a:schemeClr val="tx2"/>
              </a:solidFill>
              <a:effectLst/>
              <a:latin typeface="Garamond" panose="02020404030301010803" pitchFamily="18" charset="0"/>
              <a:ea typeface="+mn-ea"/>
              <a:cs typeface="+mn-cs"/>
            </a:rPr>
            <a:t>Strategic</a:t>
          </a:r>
          <a:r>
            <a:rPr lang="en-US" sz="1400" b="0" i="0" baseline="0">
              <a:solidFill>
                <a:schemeClr val="tx2"/>
              </a:solidFill>
              <a:effectLst/>
              <a:latin typeface="Garamond" panose="02020404030301010803" pitchFamily="18" charset="0"/>
              <a:ea typeface="+mn-ea"/>
              <a:cs typeface="+mn-cs"/>
            </a:rPr>
            <a:t> offers should be organised for transactions with high range, such as discount</a:t>
          </a:r>
        </a:p>
        <a:p>
          <a:pPr marL="0" indent="0" algn="l"/>
          <a:r>
            <a:rPr lang="en-US" sz="1400" b="0" i="0">
              <a:solidFill>
                <a:schemeClr val="tx2"/>
              </a:solidFill>
              <a:effectLst/>
              <a:latin typeface="Garamond" panose="02020404030301010803" pitchFamily="18" charset="0"/>
              <a:ea typeface="+mn-ea"/>
              <a:cs typeface="+mn-cs"/>
            </a:rPr>
            <a:t>Introduce bulk purchase options for Customers</a:t>
          </a:r>
        </a:p>
      </xdr:txBody>
    </xdr:sp>
    <xdr:clientData/>
  </xdr:twoCellAnchor>
  <xdr:twoCellAnchor>
    <xdr:from>
      <xdr:col>42</xdr:col>
      <xdr:colOff>298748</xdr:colOff>
      <xdr:row>1</xdr:row>
      <xdr:rowOff>989</xdr:rowOff>
    </xdr:from>
    <xdr:to>
      <xdr:col>56</xdr:col>
      <xdr:colOff>157233</xdr:colOff>
      <xdr:row>28</xdr:row>
      <xdr:rowOff>103581</xdr:rowOff>
    </xdr:to>
    <xdr:sp macro="" textlink="">
      <xdr:nvSpPr>
        <xdr:cNvPr id="9" name="Rectangle: Rounded Corners 8">
          <a:extLst>
            <a:ext uri="{FF2B5EF4-FFF2-40B4-BE49-F238E27FC236}">
              <a16:creationId xmlns:a16="http://schemas.microsoft.com/office/drawing/2014/main" id="{7D28E267-DA3F-453C-B268-0A587709D087}"/>
            </a:ext>
          </a:extLst>
        </xdr:cNvPr>
        <xdr:cNvSpPr/>
      </xdr:nvSpPr>
      <xdr:spPr>
        <a:xfrm>
          <a:off x="25667772" y="186843"/>
          <a:ext cx="8314827" cy="512064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i="0">
              <a:solidFill>
                <a:schemeClr val="tx2"/>
              </a:solidFill>
              <a:effectLst/>
              <a:latin typeface="Garamond" panose="02020404030301010803" pitchFamily="18" charset="0"/>
              <a:ea typeface="+mn-ea"/>
              <a:cs typeface="+mn-cs"/>
            </a:rPr>
            <a:t>Analysis - Performance by State</a:t>
          </a:r>
        </a:p>
        <a:p>
          <a:pPr marL="0" indent="0" algn="l"/>
          <a:r>
            <a:rPr lang="en-US" sz="1400" b="0" i="0">
              <a:solidFill>
                <a:schemeClr val="tx2"/>
              </a:solidFill>
              <a:effectLst/>
              <a:latin typeface="Garamond" panose="02020404030301010803" pitchFamily="18" charset="0"/>
              <a:ea typeface="+mn-ea"/>
              <a:cs typeface="+mn-cs"/>
            </a:rPr>
            <a:t>New York (NY) has the highest revenue at $67,180.50, making it the most profitable state.</a:t>
          </a:r>
        </a:p>
        <a:p>
          <a:pPr marL="0" indent="0" algn="l"/>
          <a:r>
            <a:rPr lang="en-US" sz="1400" b="0" i="0">
              <a:solidFill>
                <a:schemeClr val="tx2"/>
              </a:solidFill>
              <a:effectLst/>
              <a:latin typeface="Garamond" panose="02020404030301010803" pitchFamily="18" charset="0"/>
              <a:ea typeface="+mn-ea"/>
              <a:cs typeface="+mn-cs"/>
            </a:rPr>
            <a:t>Oregon (OR) and Florida (FL) also rank highly with revenues of $50,208.35 and $50,145.33 respectively.</a:t>
          </a:r>
        </a:p>
        <a:p>
          <a:pPr marL="0" indent="0" algn="l"/>
          <a:r>
            <a:rPr lang="en-US" sz="1400" b="0" i="0">
              <a:solidFill>
                <a:schemeClr val="tx2"/>
              </a:solidFill>
              <a:effectLst/>
              <a:latin typeface="Garamond" panose="02020404030301010803" pitchFamily="18" charset="0"/>
              <a:ea typeface="+mn-ea"/>
              <a:cs typeface="+mn-cs"/>
            </a:rPr>
            <a:t>Tennessee (TN), Illinois (IL), and Wisconsin (WI) show consistent mid-level revenue figures, each contributing between $37,000-$43,000 at $43,713.00, $41,095.01 and $37,428.00 respectively.</a:t>
          </a:r>
        </a:p>
        <a:p>
          <a:pPr marL="0" indent="0" algn="l"/>
          <a:r>
            <a:rPr lang="en-US" sz="1400" b="0" i="0">
              <a:solidFill>
                <a:schemeClr val="tx2"/>
              </a:solidFill>
              <a:effectLst/>
              <a:latin typeface="Garamond" panose="02020404030301010803" pitchFamily="18" charset="0"/>
              <a:ea typeface="+mn-ea"/>
              <a:cs typeface="+mn-cs"/>
            </a:rPr>
            <a:t>Utah (UT) and Washington (WA) are slightly lower, with revenues at $36,839.99 and $32,530.60 respectively.</a:t>
          </a:r>
        </a:p>
        <a:p>
          <a:pPr marL="0" indent="0" algn="l"/>
          <a:r>
            <a:rPr lang="en-US" sz="1400" b="0" i="0">
              <a:solidFill>
                <a:schemeClr val="tx2"/>
              </a:solidFill>
              <a:effectLst/>
              <a:latin typeface="Garamond" panose="02020404030301010803" pitchFamily="18" charset="0"/>
              <a:ea typeface="+mn-ea"/>
              <a:cs typeface="+mn-cs"/>
            </a:rPr>
            <a:t>Cananda</a:t>
          </a:r>
          <a:r>
            <a:rPr lang="en-US" sz="1400" b="0" i="0" baseline="0">
              <a:solidFill>
                <a:schemeClr val="tx2"/>
              </a:solidFill>
              <a:effectLst/>
              <a:latin typeface="Garamond" panose="02020404030301010803" pitchFamily="18" charset="0"/>
              <a:ea typeface="+mn-ea"/>
              <a:cs typeface="+mn-cs"/>
            </a:rPr>
            <a:t> (</a:t>
          </a:r>
          <a:r>
            <a:rPr lang="en-US" sz="1400" b="0" i="0">
              <a:solidFill>
                <a:schemeClr val="tx2"/>
              </a:solidFill>
              <a:effectLst/>
              <a:latin typeface="Garamond" panose="02020404030301010803" pitchFamily="18" charset="0"/>
              <a:ea typeface="+mn-ea"/>
              <a:cs typeface="+mn-cs"/>
            </a:rPr>
            <a:t>CA) stands at a revenue of $27,005.38.</a:t>
          </a:r>
        </a:p>
        <a:p>
          <a:pPr marL="0" indent="0" algn="l"/>
          <a:r>
            <a:rPr lang="en-US" sz="1400" b="0" i="0">
              <a:solidFill>
                <a:schemeClr val="tx2"/>
              </a:solidFill>
              <a:effectLst/>
              <a:latin typeface="Garamond" panose="02020404030301010803" pitchFamily="18" charset="0"/>
              <a:ea typeface="+mn-ea"/>
              <a:cs typeface="+mn-cs"/>
            </a:rPr>
            <a:t>Idaho (ID), Colorado (CO) and</a:t>
          </a:r>
          <a:r>
            <a:rPr lang="en-US" sz="1400" b="0" i="0" baseline="0">
              <a:solidFill>
                <a:schemeClr val="tx2"/>
              </a:solidFill>
              <a:effectLst/>
              <a:latin typeface="Garamond" panose="02020404030301010803" pitchFamily="18" charset="0"/>
              <a:ea typeface="+mn-ea"/>
              <a:cs typeface="+mn-cs"/>
            </a:rPr>
            <a:t> </a:t>
          </a:r>
          <a:r>
            <a:rPr lang="en-US" sz="1400" b="0" i="0">
              <a:solidFill>
                <a:schemeClr val="tx2"/>
              </a:solidFill>
              <a:effectLst/>
              <a:latin typeface="Garamond" panose="02020404030301010803" pitchFamily="18" charset="0"/>
              <a:ea typeface="+mn-ea"/>
              <a:cs typeface="+mn-cs"/>
            </a:rPr>
            <a:t>Nevada (NV) are among the lower contributors, with revenues at $17,204.00, $16,350.50</a:t>
          </a:r>
          <a:r>
            <a:rPr lang="en-US" sz="1400" b="0" i="0" baseline="0">
              <a:solidFill>
                <a:schemeClr val="tx2"/>
              </a:solidFill>
              <a:effectLst/>
              <a:latin typeface="Garamond" panose="02020404030301010803" pitchFamily="18" charset="0"/>
              <a:ea typeface="+mn-ea"/>
              <a:cs typeface="+mn-cs"/>
            </a:rPr>
            <a:t> and </a:t>
          </a:r>
          <a:r>
            <a:rPr lang="en-US" sz="1400" b="0" i="0">
              <a:solidFill>
                <a:schemeClr val="tx2"/>
              </a:solidFill>
              <a:effectLst/>
              <a:latin typeface="Garamond" panose="02020404030301010803" pitchFamily="18" charset="0"/>
              <a:ea typeface="+mn-ea"/>
              <a:cs typeface="+mn-cs"/>
            </a:rPr>
            <a:t>$15,365.50 respectively. Nevada (NV) is the lowest revenue</a:t>
          </a:r>
          <a:r>
            <a:rPr lang="en-US" sz="1400" b="0" i="0" baseline="0">
              <a:solidFill>
                <a:schemeClr val="tx2"/>
              </a:solidFill>
              <a:effectLst/>
              <a:latin typeface="Garamond" panose="02020404030301010803" pitchFamily="18" charset="0"/>
              <a:ea typeface="+mn-ea"/>
              <a:cs typeface="+mn-cs"/>
            </a:rPr>
            <a:t> state</a:t>
          </a:r>
          <a:endParaRPr lang="en-US" sz="1400" b="0" i="0">
            <a:solidFill>
              <a:schemeClr val="tx2"/>
            </a:solidFill>
            <a:effectLst/>
            <a:latin typeface="Garamond" panose="02020404030301010803" pitchFamily="18" charset="0"/>
            <a:ea typeface="+mn-ea"/>
            <a:cs typeface="+mn-cs"/>
          </a:endParaRPr>
        </a:p>
        <a:p>
          <a:pPr marL="0" indent="0" algn="l"/>
          <a:r>
            <a:rPr lang="en-US" sz="1400" b="0" i="0">
              <a:solidFill>
                <a:schemeClr val="tx2"/>
              </a:solidFill>
              <a:effectLst/>
              <a:latin typeface="Garamond" panose="02020404030301010803" pitchFamily="18" charset="0"/>
              <a:ea typeface="+mn-ea"/>
              <a:cs typeface="+mn-cs"/>
            </a:rPr>
            <a:t>There's a significant gap of over $50,000 between the top-performing state (NY) and the lowest (NV).</a:t>
          </a:r>
          <a:r>
            <a:rPr lang="en-US" sz="1400" b="0" i="0" baseline="0">
              <a:solidFill>
                <a:schemeClr val="tx2"/>
              </a:solidFill>
              <a:effectLst/>
              <a:latin typeface="Garamond" panose="02020404030301010803" pitchFamily="18" charset="0"/>
              <a:ea typeface="+mn-ea"/>
              <a:cs typeface="+mn-cs"/>
            </a:rPr>
            <a:t> </a:t>
          </a:r>
          <a:endParaRPr lang="en-US" sz="1400" b="0" i="0">
            <a:solidFill>
              <a:schemeClr val="tx2"/>
            </a:solidFill>
            <a:effectLst/>
            <a:latin typeface="Garamond" panose="02020404030301010803" pitchFamily="18" charset="0"/>
            <a:ea typeface="+mn-ea"/>
            <a:cs typeface="+mn-cs"/>
          </a:endParaRPr>
        </a:p>
        <a:p>
          <a:pPr marL="0" indent="0" algn="l"/>
          <a:endParaRPr lang="en-US" sz="1800" b="0" i="0">
            <a:solidFill>
              <a:schemeClr val="tx2"/>
            </a:solidFill>
            <a:effectLst/>
            <a:latin typeface="Garamond" panose="02020404030301010803" pitchFamily="18" charset="0"/>
            <a:ea typeface="+mn-ea"/>
            <a:cs typeface="+mn-cs"/>
          </a:endParaRPr>
        </a:p>
        <a:p>
          <a:pPr marL="0" indent="0" algn="l"/>
          <a:r>
            <a:rPr lang="en-US" sz="1600" b="1" i="0">
              <a:solidFill>
                <a:schemeClr val="tx2"/>
              </a:solidFill>
              <a:effectLst/>
              <a:latin typeface="Garamond" panose="02020404030301010803" pitchFamily="18" charset="0"/>
              <a:ea typeface="+mn-ea"/>
              <a:cs typeface="+mn-cs"/>
            </a:rPr>
            <a:t>Pre-Insights</a:t>
          </a:r>
          <a:endParaRPr lang="en-US" sz="1800" b="1" i="0">
            <a:solidFill>
              <a:schemeClr val="tx2"/>
            </a:solidFill>
            <a:effectLst/>
            <a:latin typeface="Garamond" panose="02020404030301010803" pitchFamily="18" charset="0"/>
            <a:ea typeface="+mn-ea"/>
            <a:cs typeface="+mn-cs"/>
          </a:endParaRPr>
        </a:p>
        <a:p>
          <a:pPr marL="0" indent="0" algn="l"/>
          <a:r>
            <a:rPr lang="en-US" sz="1400" b="0" i="0">
              <a:solidFill>
                <a:schemeClr val="tx2"/>
              </a:solidFill>
              <a:effectLst/>
              <a:latin typeface="Garamond" panose="02020404030301010803" pitchFamily="18" charset="0"/>
              <a:ea typeface="+mn-ea"/>
              <a:cs typeface="+mn-cs"/>
            </a:rPr>
            <a:t>The range suggests strong regional differences in performance, which could be linked to factors like population density, purchasing power, or marketing reach.</a:t>
          </a:r>
        </a:p>
        <a:p>
          <a:pPr marL="0" indent="0" algn="l"/>
          <a:r>
            <a:rPr lang="en-US" sz="1400" b="0" i="0">
              <a:solidFill>
                <a:schemeClr val="tx2"/>
              </a:solidFill>
              <a:effectLst/>
              <a:latin typeface="Garamond" panose="02020404030301010803" pitchFamily="18" charset="0"/>
              <a:ea typeface="+mn-ea"/>
              <a:cs typeface="+mn-cs"/>
            </a:rPr>
            <a:t>Nevada, Colorado, and Idaho have significantly lower revenues. Launch location-specific promotions</a:t>
          </a:r>
          <a:r>
            <a:rPr lang="en-US" sz="1400" b="0" i="0" baseline="0">
              <a:solidFill>
                <a:schemeClr val="tx2"/>
              </a:solidFill>
              <a:effectLst/>
              <a:latin typeface="Garamond" panose="02020404030301010803" pitchFamily="18" charset="0"/>
              <a:ea typeface="+mn-ea"/>
              <a:cs typeface="+mn-cs"/>
            </a:rPr>
            <a:t> or</a:t>
          </a:r>
          <a:r>
            <a:rPr lang="en-US" sz="1400" b="0" i="0">
              <a:solidFill>
                <a:schemeClr val="tx2"/>
              </a:solidFill>
              <a:effectLst/>
              <a:latin typeface="Garamond" panose="02020404030301010803" pitchFamily="18" charset="0"/>
              <a:ea typeface="+mn-ea"/>
              <a:cs typeface="+mn-cs"/>
            </a:rPr>
            <a:t> social ads to raise awareness and drive engagement.</a:t>
          </a:r>
        </a:p>
        <a:p>
          <a:pPr marL="0" indent="0" algn="l"/>
          <a:r>
            <a:rPr lang="en-US" sz="1400" b="0" i="0">
              <a:solidFill>
                <a:schemeClr val="tx2"/>
              </a:solidFill>
              <a:effectLst/>
              <a:latin typeface="Garamond" panose="02020404030301010803" pitchFamily="18" charset="0"/>
              <a:ea typeface="+mn-ea"/>
              <a:cs typeface="+mn-cs"/>
            </a:rPr>
            <a:t>Consider offering state-specific discounts to boost purchases.</a:t>
          </a:r>
        </a:p>
        <a:p>
          <a:pPr marL="0" indent="0" algn="l"/>
          <a:r>
            <a:rPr lang="en-US" sz="1400" b="0" i="0">
              <a:solidFill>
                <a:schemeClr val="tx2"/>
              </a:solidFill>
              <a:effectLst/>
              <a:latin typeface="Garamond" panose="02020404030301010803" pitchFamily="18" charset="0"/>
              <a:ea typeface="+mn-ea"/>
              <a:cs typeface="+mn-cs"/>
            </a:rPr>
            <a:t>Analyze customer behavior to understand why top-performing states are succeeding and replicate those strategies in underperforming areas.</a:t>
          </a:r>
        </a:p>
        <a:p>
          <a:pPr marL="0" indent="0" algn="l"/>
          <a:r>
            <a:rPr lang="en-US" sz="1400" b="0" i="0">
              <a:solidFill>
                <a:schemeClr val="tx2"/>
              </a:solidFill>
              <a:effectLst/>
              <a:latin typeface="Garamond" panose="02020404030301010803" pitchFamily="18" charset="0"/>
              <a:ea typeface="+mn-ea"/>
              <a:cs typeface="+mn-cs"/>
            </a:rPr>
            <a:t>Identify which products or services are popular in high-revenue states and test their promotion in lower-revenue regions.</a:t>
          </a:r>
        </a:p>
        <a:p>
          <a:pPr marL="0" indent="0" algn="l"/>
          <a:r>
            <a:rPr lang="en-US" sz="1400" b="0" i="0">
              <a:solidFill>
                <a:schemeClr val="tx2"/>
              </a:solidFill>
              <a:effectLst/>
              <a:latin typeface="Garamond" panose="02020404030301010803" pitchFamily="18" charset="0"/>
              <a:ea typeface="+mn-ea"/>
              <a:cs typeface="+mn-cs"/>
            </a:rPr>
            <a:t>Review logistics and shipping options in low-revenue regions. </a:t>
          </a:r>
        </a:p>
        <a:p>
          <a:pPr marL="0" indent="0" algn="l"/>
          <a:endParaRPr lang="en-US" sz="1600" b="0" i="0">
            <a:solidFill>
              <a:schemeClr val="tx2"/>
            </a:solidFill>
            <a:effectLst/>
            <a:latin typeface="Garamond" panose="02020404030301010803" pitchFamily="18" charset="0"/>
            <a:ea typeface="+mn-ea"/>
            <a:cs typeface="+mn-cs"/>
          </a:endParaRPr>
        </a:p>
      </xdr:txBody>
    </xdr:sp>
    <xdr:clientData/>
  </xdr:twoCellAnchor>
  <xdr:twoCellAnchor>
    <xdr:from>
      <xdr:col>42</xdr:col>
      <xdr:colOff>392021</xdr:colOff>
      <xdr:row>29</xdr:row>
      <xdr:rowOff>111687</xdr:rowOff>
    </xdr:from>
    <xdr:to>
      <xdr:col>56</xdr:col>
      <xdr:colOff>247575</xdr:colOff>
      <xdr:row>57</xdr:row>
      <xdr:rowOff>28424</xdr:rowOff>
    </xdr:to>
    <xdr:sp macro="" textlink="">
      <xdr:nvSpPr>
        <xdr:cNvPr id="10" name="Rectangle: Rounded Corners 9">
          <a:extLst>
            <a:ext uri="{FF2B5EF4-FFF2-40B4-BE49-F238E27FC236}">
              <a16:creationId xmlns:a16="http://schemas.microsoft.com/office/drawing/2014/main" id="{0571C8B1-7844-4F05-8473-50B2EB58BC86}"/>
            </a:ext>
          </a:extLst>
        </xdr:cNvPr>
        <xdr:cNvSpPr/>
      </xdr:nvSpPr>
      <xdr:spPr>
        <a:xfrm>
          <a:off x="25761045" y="5501443"/>
          <a:ext cx="8311896" cy="5120640"/>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i="0">
              <a:solidFill>
                <a:schemeClr val="bg1"/>
              </a:solidFill>
              <a:effectLst/>
              <a:latin typeface="Garamond" panose="02020404030301010803" pitchFamily="18" charset="0"/>
              <a:ea typeface="+mn-ea"/>
              <a:cs typeface="+mn-cs"/>
            </a:rPr>
            <a:t>Analysis - Top 6 Ship Cities by Revenue</a:t>
          </a:r>
          <a:endParaRPr lang="en-US" sz="1800" b="1" i="0">
            <a:solidFill>
              <a:schemeClr val="bg1"/>
            </a:solidFill>
            <a:effectLst/>
            <a:latin typeface="Garamond" panose="02020404030301010803" pitchFamily="18" charset="0"/>
            <a:ea typeface="+mn-ea"/>
            <a:cs typeface="+mn-cs"/>
          </a:endParaRPr>
        </a:p>
        <a:p>
          <a:pPr marL="0" indent="0" algn="l"/>
          <a:r>
            <a:rPr lang="en-US" sz="1400" b="0" i="0">
              <a:solidFill>
                <a:schemeClr val="bg1"/>
              </a:solidFill>
              <a:effectLst/>
              <a:latin typeface="Garamond" panose="02020404030301010803" pitchFamily="18" charset="0"/>
              <a:ea typeface="+mn-ea"/>
              <a:cs typeface="+mn-cs"/>
            </a:rPr>
            <a:t>New York is the top shipping city generating a revenue of $67,180.50.</a:t>
          </a:r>
        </a:p>
        <a:p>
          <a:pPr marL="0" indent="0" algn="l"/>
          <a:r>
            <a:rPr lang="en-US" sz="1400" b="0" i="0">
              <a:solidFill>
                <a:schemeClr val="bg1"/>
              </a:solidFill>
              <a:effectLst/>
              <a:latin typeface="Garamond" panose="02020404030301010803" pitchFamily="18" charset="0"/>
              <a:ea typeface="+mn-ea"/>
              <a:cs typeface="+mn-cs"/>
            </a:rPr>
            <a:t>Portland is the second top shipping city generating a revenue of $50,208.35.</a:t>
          </a:r>
        </a:p>
        <a:p>
          <a:pPr marL="0" indent="0" algn="l"/>
          <a:r>
            <a:rPr lang="en-US" sz="1400" b="0" i="0">
              <a:solidFill>
                <a:schemeClr val="bg1"/>
              </a:solidFill>
              <a:effectLst/>
              <a:latin typeface="Garamond" panose="02020404030301010803" pitchFamily="18" charset="0"/>
              <a:ea typeface="+mn-ea"/>
              <a:cs typeface="+mn-cs"/>
            </a:rPr>
            <a:t>Miami is the third top shipping city generating a revenue of $50,145.33 .</a:t>
          </a:r>
        </a:p>
        <a:p>
          <a:pPr marL="0" indent="0" algn="l"/>
          <a:r>
            <a:rPr lang="en-US" sz="1400" b="0" i="0">
              <a:solidFill>
                <a:schemeClr val="bg1"/>
              </a:solidFill>
              <a:effectLst/>
              <a:latin typeface="Garamond" panose="02020404030301010803" pitchFamily="18" charset="0"/>
              <a:ea typeface="+mn-ea"/>
              <a:cs typeface="+mn-cs"/>
            </a:rPr>
            <a:t>Milwaukee is the least shipping city generating a revenue of $37,428.00.</a:t>
          </a:r>
        </a:p>
        <a:p>
          <a:pPr marL="0" indent="0" algn="l"/>
          <a:r>
            <a:rPr lang="en-US" sz="1400" b="0" i="0">
              <a:solidFill>
                <a:schemeClr val="bg1"/>
              </a:solidFill>
              <a:effectLst/>
              <a:latin typeface="Garamond" panose="02020404030301010803" pitchFamily="18" charset="0"/>
              <a:ea typeface="+mn-ea"/>
              <a:cs typeface="+mn-cs"/>
            </a:rPr>
            <a:t>Revenue Gap between highest (New York) and lowest (Milwaukee) is $29,752.50.</a:t>
          </a:r>
        </a:p>
        <a:p>
          <a:pPr marL="0" indent="0" algn="l"/>
          <a:r>
            <a:rPr lang="en-US" sz="1400" b="0" i="0">
              <a:solidFill>
                <a:schemeClr val="bg1"/>
              </a:solidFill>
              <a:effectLst/>
              <a:latin typeface="Garamond" panose="02020404030301010803" pitchFamily="18" charset="0"/>
              <a:ea typeface="+mn-ea"/>
              <a:cs typeface="+mn-cs"/>
            </a:rPr>
            <a:t>There is a sharp decline in revenue generated after the top three shipping cities </a:t>
          </a:r>
        </a:p>
        <a:p>
          <a:pPr marL="0" indent="0" algn="l"/>
          <a:endParaRPr lang="en-US" sz="1800" b="0" i="0">
            <a:solidFill>
              <a:schemeClr val="bg1"/>
            </a:solidFill>
            <a:effectLst/>
            <a:latin typeface="Garamond" panose="02020404030301010803" pitchFamily="18" charset="0"/>
            <a:ea typeface="+mn-ea"/>
            <a:cs typeface="+mn-cs"/>
          </a:endParaRPr>
        </a:p>
        <a:p>
          <a:pPr marL="0" indent="0" algn="l"/>
          <a:r>
            <a:rPr lang="en-US" sz="1600" b="1" i="0">
              <a:solidFill>
                <a:schemeClr val="bg1"/>
              </a:solidFill>
              <a:effectLst/>
              <a:latin typeface="Garamond" panose="02020404030301010803" pitchFamily="18" charset="0"/>
              <a:ea typeface="+mn-ea"/>
              <a:cs typeface="+mn-cs"/>
            </a:rPr>
            <a:t>Pre-Insights</a:t>
          </a:r>
          <a:endParaRPr lang="en-US" sz="1800" b="1" i="0">
            <a:solidFill>
              <a:schemeClr val="bg1"/>
            </a:solidFill>
            <a:effectLst/>
            <a:latin typeface="Garamond" panose="02020404030301010803" pitchFamily="18" charset="0"/>
            <a:ea typeface="+mn-ea"/>
            <a:cs typeface="+mn-cs"/>
          </a:endParaRPr>
        </a:p>
        <a:p>
          <a:pPr marL="0" indent="0" algn="l"/>
          <a:r>
            <a:rPr lang="en-US" sz="1400" b="0" i="0">
              <a:solidFill>
                <a:schemeClr val="bg1"/>
              </a:solidFill>
              <a:effectLst/>
              <a:latin typeface="Garamond" panose="02020404030301010803" pitchFamily="18" charset="0"/>
              <a:ea typeface="+mn-ea"/>
              <a:cs typeface="+mn-cs"/>
            </a:rPr>
            <a:t>Run city-specific loyalty programs or discounts for returning customers. Launch targeted campaigns tailored to each top city's trends.</a:t>
          </a:r>
          <a:br>
            <a:rPr lang="en-US" sz="1400" b="0" i="0">
              <a:solidFill>
                <a:schemeClr val="bg1"/>
              </a:solidFill>
              <a:effectLst/>
              <a:latin typeface="Garamond" panose="02020404030301010803" pitchFamily="18" charset="0"/>
              <a:ea typeface="+mn-ea"/>
              <a:cs typeface="+mn-cs"/>
            </a:rPr>
          </a:br>
          <a:r>
            <a:rPr lang="en-US" sz="1400" b="0" i="0">
              <a:solidFill>
                <a:schemeClr val="bg1"/>
              </a:solidFill>
              <a:effectLst/>
              <a:latin typeface="Garamond" panose="02020404030301010803" pitchFamily="18" charset="0"/>
              <a:ea typeface="+mn-ea"/>
              <a:cs typeface="+mn-cs"/>
            </a:rPr>
            <a:t>Partner with local influencers or businesses to boost brand visibility.</a:t>
          </a:r>
          <a:br>
            <a:rPr lang="en-US" sz="1400" b="0" i="0">
              <a:solidFill>
                <a:schemeClr val="bg1"/>
              </a:solidFill>
              <a:effectLst/>
              <a:latin typeface="Garamond" panose="02020404030301010803" pitchFamily="18" charset="0"/>
              <a:ea typeface="+mn-ea"/>
              <a:cs typeface="+mn-cs"/>
            </a:rPr>
          </a:br>
          <a:r>
            <a:rPr lang="en-US" sz="1400" b="0" i="0">
              <a:solidFill>
                <a:schemeClr val="bg1"/>
              </a:solidFill>
              <a:effectLst/>
              <a:latin typeface="Garamond" panose="02020404030301010803" pitchFamily="18" charset="0"/>
              <a:ea typeface="+mn-ea"/>
              <a:cs typeface="+mn-cs"/>
            </a:rPr>
            <a:t>Increase Market Penetration in Lower Revenue Cities (Milwaukee, Chicago, Memphis).</a:t>
          </a:r>
          <a:br>
            <a:rPr lang="en-US" sz="1400" b="0" i="0">
              <a:solidFill>
                <a:schemeClr val="bg1"/>
              </a:solidFill>
              <a:effectLst/>
              <a:latin typeface="Garamond" panose="02020404030301010803" pitchFamily="18" charset="0"/>
              <a:ea typeface="+mn-ea"/>
              <a:cs typeface="+mn-cs"/>
            </a:rPr>
          </a:br>
          <a:r>
            <a:rPr lang="en-US" sz="1400" b="0" i="0">
              <a:solidFill>
                <a:schemeClr val="bg1"/>
              </a:solidFill>
              <a:effectLst/>
              <a:latin typeface="Garamond" panose="02020404030301010803" pitchFamily="18" charset="0"/>
              <a:ea typeface="+mn-ea"/>
              <a:cs typeface="+mn-cs"/>
            </a:rPr>
            <a:t>Apply winning tactics from top cities to other cities.</a:t>
          </a:r>
        </a:p>
        <a:p>
          <a:pPr marL="0" indent="0" algn="l"/>
          <a:r>
            <a:rPr lang="en-US" sz="1400" b="0" i="0">
              <a:solidFill>
                <a:schemeClr val="bg1"/>
              </a:solidFill>
              <a:effectLst/>
              <a:latin typeface="Garamond" panose="02020404030301010803" pitchFamily="18" charset="0"/>
              <a:ea typeface="+mn-ea"/>
              <a:cs typeface="+mn-cs"/>
            </a:rPr>
            <a:t>Expand reach organically across all locations.</a:t>
          </a:r>
        </a:p>
      </xdr:txBody>
    </xdr:sp>
    <xdr:clientData/>
  </xdr:twoCellAnchor>
  <xdr:twoCellAnchor>
    <xdr:from>
      <xdr:col>56</xdr:col>
      <xdr:colOff>425797</xdr:colOff>
      <xdr:row>1</xdr:row>
      <xdr:rowOff>6789</xdr:rowOff>
    </xdr:from>
    <xdr:to>
      <xdr:col>70</xdr:col>
      <xdr:colOff>281352</xdr:colOff>
      <xdr:row>28</xdr:row>
      <xdr:rowOff>109381</xdr:rowOff>
    </xdr:to>
    <xdr:sp macro="" textlink="">
      <xdr:nvSpPr>
        <xdr:cNvPr id="11" name="Rectangle: Rounded Corners 10">
          <a:extLst>
            <a:ext uri="{FF2B5EF4-FFF2-40B4-BE49-F238E27FC236}">
              <a16:creationId xmlns:a16="http://schemas.microsoft.com/office/drawing/2014/main" id="{1C78FC1A-4A8D-4407-A5C3-3BD5FF785A4E}"/>
            </a:ext>
          </a:extLst>
        </xdr:cNvPr>
        <xdr:cNvSpPr/>
      </xdr:nvSpPr>
      <xdr:spPr>
        <a:xfrm>
          <a:off x="34251163" y="192643"/>
          <a:ext cx="8311896" cy="5120640"/>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i="0">
              <a:solidFill>
                <a:schemeClr val="bg1"/>
              </a:solidFill>
              <a:effectLst/>
              <a:latin typeface="Garamond" panose="02020404030301010803" pitchFamily="18" charset="0"/>
              <a:ea typeface="+mn-ea"/>
              <a:cs typeface="+mn-cs"/>
            </a:rPr>
            <a:t>Analysis - Top 5 Cities by Revenue</a:t>
          </a:r>
        </a:p>
        <a:p>
          <a:pPr marL="0" indent="0" algn="l"/>
          <a:r>
            <a:rPr lang="en-US" sz="1400" b="0" i="0">
              <a:solidFill>
                <a:schemeClr val="bg1"/>
              </a:solidFill>
              <a:effectLst/>
              <a:latin typeface="Garamond" panose="02020404030301010803" pitchFamily="18" charset="0"/>
              <a:ea typeface="+mn-ea"/>
              <a:cs typeface="+mn-cs"/>
            </a:rPr>
            <a:t>New York is the leading city with a total revenue of $67,180.50, clearly outperforming all other cities. </a:t>
          </a:r>
        </a:p>
        <a:p>
          <a:pPr marL="0" indent="0" algn="l"/>
          <a:r>
            <a:rPr lang="en-US" sz="1400" b="0" i="0">
              <a:solidFill>
                <a:schemeClr val="bg1"/>
              </a:solidFill>
              <a:effectLst/>
              <a:latin typeface="Garamond" panose="02020404030301010803" pitchFamily="18" charset="0"/>
              <a:ea typeface="+mn-ea"/>
              <a:cs typeface="+mn-cs"/>
            </a:rPr>
            <a:t>Portland and Miami follow closely with revenues of $50,208.35 and $50,145.33 respectively. </a:t>
          </a:r>
        </a:p>
        <a:p>
          <a:pPr marL="0" indent="0" algn="l"/>
          <a:r>
            <a:rPr lang="en-US" sz="1400" b="0" i="0">
              <a:solidFill>
                <a:schemeClr val="bg1"/>
              </a:solidFill>
              <a:effectLst/>
              <a:latin typeface="Garamond" panose="02020404030301010803" pitchFamily="18" charset="0"/>
              <a:ea typeface="+mn-ea"/>
              <a:cs typeface="+mn-cs"/>
            </a:rPr>
            <a:t>Memphis recorded $43,713.00, and Chicago generated $41,095.01, placing them in the mid-tier range. </a:t>
          </a:r>
        </a:p>
        <a:p>
          <a:pPr marL="0" indent="0" algn="l"/>
          <a:r>
            <a:rPr lang="en-US" sz="1400" b="0" i="0">
              <a:solidFill>
                <a:schemeClr val="bg1"/>
              </a:solidFill>
              <a:effectLst/>
              <a:latin typeface="Garamond" panose="02020404030301010803" pitchFamily="18" charset="0"/>
              <a:ea typeface="+mn-ea"/>
              <a:cs typeface="+mn-cs"/>
            </a:rPr>
            <a:t>The gap in</a:t>
          </a:r>
          <a:r>
            <a:rPr lang="en-US" sz="1400" b="0" i="0" baseline="0">
              <a:solidFill>
                <a:schemeClr val="bg1"/>
              </a:solidFill>
              <a:effectLst/>
              <a:latin typeface="Garamond" panose="02020404030301010803" pitchFamily="18" charset="0"/>
              <a:ea typeface="+mn-ea"/>
              <a:cs typeface="+mn-cs"/>
            </a:rPr>
            <a:t> revenue</a:t>
          </a:r>
          <a:r>
            <a:rPr lang="en-US" sz="1400" b="0" i="0">
              <a:solidFill>
                <a:schemeClr val="bg1"/>
              </a:solidFill>
              <a:effectLst/>
              <a:latin typeface="Garamond" panose="02020404030301010803" pitchFamily="18" charset="0"/>
              <a:ea typeface="+mn-ea"/>
              <a:cs typeface="+mn-cs"/>
            </a:rPr>
            <a:t> between New York and Chicago is over $26,000.</a:t>
          </a:r>
        </a:p>
        <a:p>
          <a:pPr marL="0" indent="0" algn="l"/>
          <a:endParaRPr lang="en-US" sz="1800" b="0" i="0">
            <a:solidFill>
              <a:schemeClr val="bg1"/>
            </a:solidFill>
            <a:effectLst/>
            <a:latin typeface="Garamond" panose="02020404030301010803" pitchFamily="18" charset="0"/>
            <a:ea typeface="+mn-ea"/>
            <a:cs typeface="+mn-cs"/>
          </a:endParaRPr>
        </a:p>
        <a:p>
          <a:pPr marL="0" indent="0" algn="l"/>
          <a:r>
            <a:rPr lang="en-US" sz="1600" b="1" i="0">
              <a:solidFill>
                <a:schemeClr val="bg1"/>
              </a:solidFill>
              <a:effectLst/>
              <a:latin typeface="Garamond" panose="02020404030301010803" pitchFamily="18" charset="0"/>
              <a:ea typeface="+mn-ea"/>
              <a:cs typeface="+mn-cs"/>
            </a:rPr>
            <a:t>Pre-Insights</a:t>
          </a:r>
          <a:endParaRPr lang="en-US" sz="1800" b="1" i="0">
            <a:solidFill>
              <a:schemeClr val="bg1"/>
            </a:solidFill>
            <a:effectLst/>
            <a:latin typeface="Garamond" panose="02020404030301010803" pitchFamily="18" charset="0"/>
            <a:ea typeface="+mn-ea"/>
            <a:cs typeface="+mn-cs"/>
          </a:endParaRPr>
        </a:p>
        <a:p>
          <a:pPr marL="0" indent="0" algn="l"/>
          <a:r>
            <a:rPr lang="en-US" sz="1400" b="0" i="0">
              <a:solidFill>
                <a:schemeClr val="bg1"/>
              </a:solidFill>
              <a:effectLst/>
              <a:latin typeface="Garamond" panose="02020404030301010803" pitchFamily="18" charset="0"/>
              <a:ea typeface="+mn-ea"/>
              <a:cs typeface="+mn-cs"/>
            </a:rPr>
            <a:t>Maintain strategy in these New York, Portland, Miami with continued promotions</a:t>
          </a:r>
          <a:r>
            <a:rPr lang="en-US" sz="1400" b="0" i="0" baseline="0">
              <a:solidFill>
                <a:schemeClr val="bg1"/>
              </a:solidFill>
              <a:effectLst/>
              <a:latin typeface="Garamond" panose="02020404030301010803" pitchFamily="18" charset="0"/>
              <a:ea typeface="+mn-ea"/>
              <a:cs typeface="+mn-cs"/>
            </a:rPr>
            <a:t> or </a:t>
          </a:r>
          <a:r>
            <a:rPr lang="en-US" sz="1400" b="0" i="0">
              <a:solidFill>
                <a:schemeClr val="bg1"/>
              </a:solidFill>
              <a:effectLst/>
              <a:latin typeface="Garamond" panose="02020404030301010803" pitchFamily="18" charset="0"/>
              <a:ea typeface="+mn-ea"/>
              <a:cs typeface="+mn-cs"/>
            </a:rPr>
            <a:t>product recommendations.</a:t>
          </a:r>
        </a:p>
        <a:p>
          <a:pPr marL="0" indent="0" algn="l"/>
          <a:r>
            <a:rPr lang="en-US" sz="1400" b="0" i="0">
              <a:solidFill>
                <a:schemeClr val="bg1"/>
              </a:solidFill>
              <a:effectLst/>
              <a:latin typeface="Garamond" panose="02020404030301010803" pitchFamily="18" charset="0"/>
              <a:ea typeface="+mn-ea"/>
              <a:cs typeface="+mn-cs"/>
            </a:rPr>
            <a:t>Use customer feedback and behavior in these cities as models for success in low revenue locations.</a:t>
          </a:r>
        </a:p>
        <a:p>
          <a:pPr marL="0" indent="0" algn="l"/>
          <a:r>
            <a:rPr lang="en-US" sz="1400" b="0" i="0">
              <a:solidFill>
                <a:schemeClr val="bg1"/>
              </a:solidFill>
              <a:effectLst/>
              <a:latin typeface="Garamond" panose="02020404030301010803" pitchFamily="18" charset="0"/>
              <a:ea typeface="+mn-ea"/>
              <a:cs typeface="+mn-cs"/>
            </a:rPr>
            <a:t>Conduct market research to identify what's limiting performance in low revenue locations.</a:t>
          </a:r>
        </a:p>
        <a:p>
          <a:pPr marL="0" indent="0" algn="l"/>
          <a:r>
            <a:rPr lang="en-US" sz="1400" b="0" i="0">
              <a:solidFill>
                <a:schemeClr val="bg1"/>
              </a:solidFill>
              <a:effectLst/>
              <a:latin typeface="Garamond" panose="02020404030301010803" pitchFamily="18" charset="0"/>
              <a:ea typeface="+mn-ea"/>
              <a:cs typeface="+mn-cs"/>
            </a:rPr>
            <a:t>Design city-specific marketing strategies for Memphis and Chicago. </a:t>
          </a:r>
        </a:p>
        <a:p>
          <a:pPr marL="0" indent="0" algn="l"/>
          <a:r>
            <a:rPr lang="en-US" sz="1400" b="0" i="0">
              <a:solidFill>
                <a:schemeClr val="bg1"/>
              </a:solidFill>
              <a:effectLst/>
              <a:latin typeface="Garamond" panose="02020404030301010803" pitchFamily="18" charset="0"/>
              <a:ea typeface="+mn-ea"/>
              <a:cs typeface="+mn-cs"/>
            </a:rPr>
            <a:t>Identify top-selling products or services in New York, Miami, and Portland and test-market them in Memphis and Chicago.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428625</xdr:colOff>
      <xdr:row>2</xdr:row>
      <xdr:rowOff>33336</xdr:rowOff>
    </xdr:from>
    <xdr:to>
      <xdr:col>12</xdr:col>
      <xdr:colOff>57150</xdr:colOff>
      <xdr:row>18</xdr:row>
      <xdr:rowOff>142875</xdr:rowOff>
    </xdr:to>
    <xdr:graphicFrame macro="">
      <xdr:nvGraphicFramePr>
        <xdr:cNvPr id="2" name="Chart 1">
          <a:extLst>
            <a:ext uri="{FF2B5EF4-FFF2-40B4-BE49-F238E27FC236}">
              <a16:creationId xmlns:a16="http://schemas.microsoft.com/office/drawing/2014/main" id="{E0188479-60E0-4491-B036-F4B66C110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428625</xdr:colOff>
      <xdr:row>2</xdr:row>
      <xdr:rowOff>33336</xdr:rowOff>
    </xdr:from>
    <xdr:to>
      <xdr:col>12</xdr:col>
      <xdr:colOff>57150</xdr:colOff>
      <xdr:row>18</xdr:row>
      <xdr:rowOff>142875</xdr:rowOff>
    </xdr:to>
    <xdr:graphicFrame macro="">
      <xdr:nvGraphicFramePr>
        <xdr:cNvPr id="2" name="Chart 1">
          <a:extLst>
            <a:ext uri="{FF2B5EF4-FFF2-40B4-BE49-F238E27FC236}">
              <a16:creationId xmlns:a16="http://schemas.microsoft.com/office/drawing/2014/main" id="{393D1883-6C1C-4D67-A87B-1B9B00230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428625</xdr:colOff>
      <xdr:row>2</xdr:row>
      <xdr:rowOff>33336</xdr:rowOff>
    </xdr:from>
    <xdr:to>
      <xdr:col>12</xdr:col>
      <xdr:colOff>57150</xdr:colOff>
      <xdr:row>18</xdr:row>
      <xdr:rowOff>142875</xdr:rowOff>
    </xdr:to>
    <xdr:graphicFrame macro="">
      <xdr:nvGraphicFramePr>
        <xdr:cNvPr id="2" name="Chart 1">
          <a:extLst>
            <a:ext uri="{FF2B5EF4-FFF2-40B4-BE49-F238E27FC236}">
              <a16:creationId xmlns:a16="http://schemas.microsoft.com/office/drawing/2014/main" id="{F1EF08F7-02C2-4C3E-A167-C93755A28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247651</xdr:colOff>
      <xdr:row>2</xdr:row>
      <xdr:rowOff>33336</xdr:rowOff>
    </xdr:from>
    <xdr:to>
      <xdr:col>12</xdr:col>
      <xdr:colOff>161925</xdr:colOff>
      <xdr:row>18</xdr:row>
      <xdr:rowOff>142875</xdr:rowOff>
    </xdr:to>
    <xdr:graphicFrame macro="">
      <xdr:nvGraphicFramePr>
        <xdr:cNvPr id="2" name="Chart 1">
          <a:extLst>
            <a:ext uri="{FF2B5EF4-FFF2-40B4-BE49-F238E27FC236}">
              <a16:creationId xmlns:a16="http://schemas.microsoft.com/office/drawing/2014/main" id="{DADF73A3-D96D-4840-B4D8-AF1D5B0C9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247650</xdr:colOff>
      <xdr:row>2</xdr:row>
      <xdr:rowOff>33336</xdr:rowOff>
    </xdr:from>
    <xdr:to>
      <xdr:col>12</xdr:col>
      <xdr:colOff>419099</xdr:colOff>
      <xdr:row>18</xdr:row>
      <xdr:rowOff>142875</xdr:rowOff>
    </xdr:to>
    <xdr:graphicFrame macro="">
      <xdr:nvGraphicFramePr>
        <xdr:cNvPr id="2" name="Chart 1">
          <a:extLst>
            <a:ext uri="{FF2B5EF4-FFF2-40B4-BE49-F238E27FC236}">
              <a16:creationId xmlns:a16="http://schemas.microsoft.com/office/drawing/2014/main" id="{8B71083B-8002-44D7-A565-76CE47215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428625</xdr:colOff>
      <xdr:row>2</xdr:row>
      <xdr:rowOff>33336</xdr:rowOff>
    </xdr:from>
    <xdr:to>
      <xdr:col>12</xdr:col>
      <xdr:colOff>57150</xdr:colOff>
      <xdr:row>18</xdr:row>
      <xdr:rowOff>142875</xdr:rowOff>
    </xdr:to>
    <xdr:graphicFrame macro="">
      <xdr:nvGraphicFramePr>
        <xdr:cNvPr id="2" name="Chart 1">
          <a:extLst>
            <a:ext uri="{FF2B5EF4-FFF2-40B4-BE49-F238E27FC236}">
              <a16:creationId xmlns:a16="http://schemas.microsoft.com/office/drawing/2014/main" id="{C3A734FF-A248-4489-A855-550BB7F5B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225873</xdr:colOff>
      <xdr:row>2</xdr:row>
      <xdr:rowOff>65994</xdr:rowOff>
    </xdr:from>
    <xdr:to>
      <xdr:col>18</xdr:col>
      <xdr:colOff>544285</xdr:colOff>
      <xdr:row>23</xdr:row>
      <xdr:rowOff>95250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BA0C565-37FD-CFDB-BBCA-C27CCC6420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78548" y="466044"/>
              <a:ext cx="10186312" cy="422978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104775</xdr:colOff>
      <xdr:row>4</xdr:row>
      <xdr:rowOff>14287</xdr:rowOff>
    </xdr:from>
    <xdr:to>
      <xdr:col>10</xdr:col>
      <xdr:colOff>247650</xdr:colOff>
      <xdr:row>18</xdr:row>
      <xdr:rowOff>90487</xdr:rowOff>
    </xdr:to>
    <xdr:graphicFrame macro="">
      <xdr:nvGraphicFramePr>
        <xdr:cNvPr id="2" name="Chart 1">
          <a:extLst>
            <a:ext uri="{FF2B5EF4-FFF2-40B4-BE49-F238E27FC236}">
              <a16:creationId xmlns:a16="http://schemas.microsoft.com/office/drawing/2014/main" id="{6BE6E5B9-32DC-4131-ABF9-599C9047C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104775</xdr:colOff>
      <xdr:row>4</xdr:row>
      <xdr:rowOff>14287</xdr:rowOff>
    </xdr:from>
    <xdr:to>
      <xdr:col>10</xdr:col>
      <xdr:colOff>247650</xdr:colOff>
      <xdr:row>18</xdr:row>
      <xdr:rowOff>90487</xdr:rowOff>
    </xdr:to>
    <xdr:graphicFrame macro="">
      <xdr:nvGraphicFramePr>
        <xdr:cNvPr id="2" name="Chart 1">
          <a:extLst>
            <a:ext uri="{FF2B5EF4-FFF2-40B4-BE49-F238E27FC236}">
              <a16:creationId xmlns:a16="http://schemas.microsoft.com/office/drawing/2014/main" id="{1BA6DE91-9423-441E-A424-117A604C1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95250</xdr:colOff>
      <xdr:row>10</xdr:row>
      <xdr:rowOff>95250</xdr:rowOff>
    </xdr:from>
    <xdr:to>
      <xdr:col>25</xdr:col>
      <xdr:colOff>400050</xdr:colOff>
      <xdr:row>26</xdr:row>
      <xdr:rowOff>101346</xdr:rowOff>
    </xdr:to>
    <xdr:graphicFrame macro="">
      <xdr:nvGraphicFramePr>
        <xdr:cNvPr id="3" name="Chart 2">
          <a:extLst>
            <a:ext uri="{FF2B5EF4-FFF2-40B4-BE49-F238E27FC236}">
              <a16:creationId xmlns:a16="http://schemas.microsoft.com/office/drawing/2014/main" id="{64784B2E-CFCE-4FE4-8C5D-C74476825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26</xdr:row>
      <xdr:rowOff>152400</xdr:rowOff>
    </xdr:from>
    <xdr:to>
      <xdr:col>12</xdr:col>
      <xdr:colOff>515874</xdr:colOff>
      <xdr:row>42</xdr:row>
      <xdr:rowOff>158496</xdr:rowOff>
    </xdr:to>
    <xdr:graphicFrame macro="">
      <xdr:nvGraphicFramePr>
        <xdr:cNvPr id="4" name="Chart 3">
          <a:extLst>
            <a:ext uri="{FF2B5EF4-FFF2-40B4-BE49-F238E27FC236}">
              <a16:creationId xmlns:a16="http://schemas.microsoft.com/office/drawing/2014/main" id="{6B8D36FE-4AFD-4008-9299-4E85D7620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589026</xdr:colOff>
      <xdr:row>26</xdr:row>
      <xdr:rowOff>152400</xdr:rowOff>
    </xdr:from>
    <xdr:to>
      <xdr:col>25</xdr:col>
      <xdr:colOff>400050</xdr:colOff>
      <xdr:row>42</xdr:row>
      <xdr:rowOff>158496</xdr:rowOff>
    </xdr:to>
    <xdr:graphicFrame macro="">
      <xdr:nvGraphicFramePr>
        <xdr:cNvPr id="5" name="Chart 4">
          <a:extLst>
            <a:ext uri="{FF2B5EF4-FFF2-40B4-BE49-F238E27FC236}">
              <a16:creationId xmlns:a16="http://schemas.microsoft.com/office/drawing/2014/main" id="{854BEDD7-182E-42D1-9678-B1309150F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243840</xdr:colOff>
      <xdr:row>43</xdr:row>
      <xdr:rowOff>19050</xdr:rowOff>
    </xdr:from>
    <xdr:to>
      <xdr:col>38</xdr:col>
      <xdr:colOff>347472</xdr:colOff>
      <xdr:row>59</xdr:row>
      <xdr:rowOff>25146</xdr:rowOff>
    </xdr:to>
    <xdr:graphicFrame macro="">
      <xdr:nvGraphicFramePr>
        <xdr:cNvPr id="6" name="Chart 5">
          <a:extLst>
            <a:ext uri="{FF2B5EF4-FFF2-40B4-BE49-F238E27FC236}">
              <a16:creationId xmlns:a16="http://schemas.microsoft.com/office/drawing/2014/main" id="{3649C1C2-1D67-4B30-AD8F-33402696F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454152</xdr:colOff>
      <xdr:row>26</xdr:row>
      <xdr:rowOff>152400</xdr:rowOff>
    </xdr:from>
    <xdr:to>
      <xdr:col>38</xdr:col>
      <xdr:colOff>347472</xdr:colOff>
      <xdr:row>42</xdr:row>
      <xdr:rowOff>158496</xdr:rowOff>
    </xdr:to>
    <xdr:graphicFrame macro="">
      <xdr:nvGraphicFramePr>
        <xdr:cNvPr id="7" name="Chart 6">
          <a:extLst>
            <a:ext uri="{FF2B5EF4-FFF2-40B4-BE49-F238E27FC236}">
              <a16:creationId xmlns:a16="http://schemas.microsoft.com/office/drawing/2014/main" id="{01FEE3CE-5E99-4A7D-ABC2-DBF03776D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474345</xdr:colOff>
      <xdr:row>43</xdr:row>
      <xdr:rowOff>19050</xdr:rowOff>
    </xdr:from>
    <xdr:to>
      <xdr:col>19</xdr:col>
      <xdr:colOff>193929</xdr:colOff>
      <xdr:row>59</xdr:row>
      <xdr:rowOff>25146</xdr:rowOff>
    </xdr:to>
    <xdr:graphicFrame macro="">
      <xdr:nvGraphicFramePr>
        <xdr:cNvPr id="10" name="Chart 9">
          <a:extLst>
            <a:ext uri="{FF2B5EF4-FFF2-40B4-BE49-F238E27FC236}">
              <a16:creationId xmlns:a16="http://schemas.microsoft.com/office/drawing/2014/main" id="{A27D6DA1-145F-4A21-B673-A5FF04A64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95250</xdr:colOff>
      <xdr:row>0</xdr:row>
      <xdr:rowOff>114300</xdr:rowOff>
    </xdr:from>
    <xdr:to>
      <xdr:col>41</xdr:col>
      <xdr:colOff>521970</xdr:colOff>
      <xdr:row>3</xdr:row>
      <xdr:rowOff>182880</xdr:rowOff>
    </xdr:to>
    <xdr:sp macro="" textlink="">
      <xdr:nvSpPr>
        <xdr:cNvPr id="11" name="Rectangle: Rounded Corners 10">
          <a:extLst>
            <a:ext uri="{FF2B5EF4-FFF2-40B4-BE49-F238E27FC236}">
              <a16:creationId xmlns:a16="http://schemas.microsoft.com/office/drawing/2014/main" id="{92A75D3A-52E8-F5B9-AC21-C5BB0447A7BE}"/>
            </a:ext>
          </a:extLst>
        </xdr:cNvPr>
        <xdr:cNvSpPr/>
      </xdr:nvSpPr>
      <xdr:spPr>
        <a:xfrm>
          <a:off x="95250" y="114300"/>
          <a:ext cx="25420320" cy="64008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b="1">
              <a:solidFill>
                <a:schemeClr val="accent5">
                  <a:lumMod val="50000"/>
                </a:schemeClr>
              </a:solidFill>
              <a:effectLst/>
              <a:latin typeface="Garamond" panose="02020404030301010803" pitchFamily="18" charset="0"/>
              <a:ea typeface="+mn-ea"/>
              <a:cs typeface="+mn-cs"/>
            </a:rPr>
            <a:t>PRESTIGE</a:t>
          </a:r>
          <a:r>
            <a:rPr lang="en-US" sz="4000" b="1" baseline="0">
              <a:solidFill>
                <a:schemeClr val="accent5">
                  <a:lumMod val="50000"/>
                </a:schemeClr>
              </a:solidFill>
              <a:effectLst/>
              <a:latin typeface="Garamond" panose="02020404030301010803" pitchFamily="18" charset="0"/>
              <a:ea typeface="+mn-ea"/>
              <a:cs typeface="+mn-cs"/>
            </a:rPr>
            <a:t> GROUP OF COMPANIES' SALES REPORT FOR THE YEAR 2014</a:t>
          </a:r>
          <a:endParaRPr lang="en-US" sz="4000" b="1">
            <a:solidFill>
              <a:schemeClr val="accent5">
                <a:lumMod val="50000"/>
              </a:schemeClr>
            </a:solidFill>
            <a:effectLst/>
            <a:latin typeface="Garamond" panose="02020404030301010803" pitchFamily="18" charset="0"/>
          </a:endParaRPr>
        </a:p>
      </xdr:txBody>
    </xdr:sp>
    <xdr:clientData/>
  </xdr:twoCellAnchor>
  <xdr:twoCellAnchor>
    <xdr:from>
      <xdr:col>0</xdr:col>
      <xdr:colOff>95250</xdr:colOff>
      <xdr:row>4</xdr:row>
      <xdr:rowOff>76200</xdr:rowOff>
    </xdr:from>
    <xdr:to>
      <xdr:col>4</xdr:col>
      <xdr:colOff>518922</xdr:colOff>
      <xdr:row>10</xdr:row>
      <xdr:rowOff>30480</xdr:rowOff>
    </xdr:to>
    <xdr:sp macro="" textlink="">
      <xdr:nvSpPr>
        <xdr:cNvPr id="12" name="Rectangle: Rounded Corners 11">
          <a:extLst>
            <a:ext uri="{FF2B5EF4-FFF2-40B4-BE49-F238E27FC236}">
              <a16:creationId xmlns:a16="http://schemas.microsoft.com/office/drawing/2014/main" id="{618EC96B-F051-C163-FD5D-8CB542EFA72A}"/>
            </a:ext>
          </a:extLst>
        </xdr:cNvPr>
        <xdr:cNvSpPr/>
      </xdr:nvSpPr>
      <xdr:spPr>
        <a:xfrm>
          <a:off x="95250" y="838200"/>
          <a:ext cx="2862072" cy="109728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a:solidFill>
                <a:schemeClr val="accent5">
                  <a:lumMod val="50000"/>
                </a:schemeClr>
              </a:solidFill>
              <a:latin typeface="Garamond" panose="02020404030301010803" pitchFamily="18" charset="0"/>
            </a:rPr>
            <a:t>Most Efficient Sales</a:t>
          </a:r>
          <a:r>
            <a:rPr lang="en-US" sz="1800" baseline="0">
              <a:solidFill>
                <a:schemeClr val="accent5">
                  <a:lumMod val="50000"/>
                </a:schemeClr>
              </a:solidFill>
              <a:latin typeface="Garamond" panose="02020404030301010803" pitchFamily="18" charset="0"/>
            </a:rPr>
            <a:t> Person</a:t>
          </a:r>
        </a:p>
        <a:p>
          <a:pPr algn="ctr"/>
          <a:endParaRPr lang="en-US" sz="500" b="0" i="0" u="none" strike="noStrike" baseline="0">
            <a:solidFill>
              <a:schemeClr val="lt1"/>
            </a:solidFill>
            <a:effectLst/>
            <a:latin typeface="Garamond" panose="02020404030301010803" pitchFamily="18" charset="0"/>
            <a:ea typeface="+mn-ea"/>
            <a:cs typeface="+mn-cs"/>
          </a:endParaRPr>
        </a:p>
        <a:p>
          <a:pPr algn="ctr"/>
          <a:r>
            <a:rPr lang="en-US" sz="2400" b="1">
              <a:solidFill>
                <a:schemeClr val="accent5">
                  <a:lumMod val="50000"/>
                </a:schemeClr>
              </a:solidFill>
              <a:latin typeface="Garamond" panose="02020404030301010803" pitchFamily="18" charset="0"/>
            </a:rPr>
            <a:t>Nancy</a:t>
          </a:r>
          <a:r>
            <a:rPr lang="en-US" sz="2400" b="1" baseline="0">
              <a:solidFill>
                <a:schemeClr val="accent5">
                  <a:lumMod val="50000"/>
                </a:schemeClr>
              </a:solidFill>
              <a:latin typeface="Garamond" panose="02020404030301010803" pitchFamily="18" charset="0"/>
            </a:rPr>
            <a:t> Freehafer</a:t>
          </a:r>
          <a:endParaRPr lang="en-US" sz="2400" b="1">
            <a:solidFill>
              <a:schemeClr val="accent5">
                <a:lumMod val="50000"/>
              </a:schemeClr>
            </a:solidFill>
            <a:latin typeface="Garamond" panose="02020404030301010803" pitchFamily="18" charset="0"/>
          </a:endParaRPr>
        </a:p>
      </xdr:txBody>
    </xdr:sp>
    <xdr:clientData/>
  </xdr:twoCellAnchor>
  <xdr:twoCellAnchor>
    <xdr:from>
      <xdr:col>4</xdr:col>
      <xdr:colOff>595993</xdr:colOff>
      <xdr:row>4</xdr:row>
      <xdr:rowOff>76200</xdr:rowOff>
    </xdr:from>
    <xdr:to>
      <xdr:col>9</xdr:col>
      <xdr:colOff>410065</xdr:colOff>
      <xdr:row>10</xdr:row>
      <xdr:rowOff>30480</xdr:rowOff>
    </xdr:to>
    <xdr:sp macro="" textlink="">
      <xdr:nvSpPr>
        <xdr:cNvPr id="19" name="Rectangle: Rounded Corners 18">
          <a:extLst>
            <a:ext uri="{FF2B5EF4-FFF2-40B4-BE49-F238E27FC236}">
              <a16:creationId xmlns:a16="http://schemas.microsoft.com/office/drawing/2014/main" id="{812423ED-DBC7-A14E-4D5B-4678A95E289A}"/>
            </a:ext>
          </a:extLst>
        </xdr:cNvPr>
        <xdr:cNvSpPr/>
      </xdr:nvSpPr>
      <xdr:spPr>
        <a:xfrm>
          <a:off x="3034393" y="838200"/>
          <a:ext cx="2862072" cy="109728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a:solidFill>
                <a:schemeClr val="accent5">
                  <a:lumMod val="50000"/>
                </a:schemeClr>
              </a:solidFill>
              <a:latin typeface="Garamond" panose="02020404030301010803" pitchFamily="18" charset="0"/>
            </a:rPr>
            <a:t>Best Perforning Region</a:t>
          </a:r>
          <a:r>
            <a:rPr lang="en-US" sz="2000" baseline="0">
              <a:solidFill>
                <a:schemeClr val="accent5">
                  <a:lumMod val="50000"/>
                </a:schemeClr>
              </a:solidFill>
              <a:latin typeface="Garamond" panose="02020404030301010803" pitchFamily="18" charset="0"/>
            </a:rPr>
            <a:t> </a:t>
          </a:r>
        </a:p>
        <a:p>
          <a:pPr algn="ctr"/>
          <a:endParaRPr lang="en-US" sz="500" b="0" i="0" u="none" strike="noStrike" baseline="0">
            <a:solidFill>
              <a:schemeClr val="lt1"/>
            </a:solidFill>
            <a:effectLst/>
            <a:latin typeface="Garamond" panose="02020404030301010803" pitchFamily="18" charset="0"/>
            <a:ea typeface="+mn-ea"/>
            <a:cs typeface="+mn-cs"/>
          </a:endParaRPr>
        </a:p>
        <a:p>
          <a:pPr algn="ctr"/>
          <a:r>
            <a:rPr lang="en-US" sz="2400" b="1">
              <a:solidFill>
                <a:schemeClr val="accent5">
                  <a:lumMod val="50000"/>
                </a:schemeClr>
              </a:solidFill>
              <a:latin typeface="Garamond" panose="02020404030301010803" pitchFamily="18" charset="0"/>
            </a:rPr>
            <a:t>North</a:t>
          </a:r>
          <a:endParaRPr lang="en-US" sz="2000" b="1">
            <a:solidFill>
              <a:schemeClr val="accent5">
                <a:lumMod val="50000"/>
              </a:schemeClr>
            </a:solidFill>
            <a:latin typeface="Garamond" panose="02020404030301010803" pitchFamily="18" charset="0"/>
          </a:endParaRPr>
        </a:p>
      </xdr:txBody>
    </xdr:sp>
    <xdr:clientData/>
  </xdr:twoCellAnchor>
  <xdr:twoCellAnchor>
    <xdr:from>
      <xdr:col>9</xdr:col>
      <xdr:colOff>487136</xdr:colOff>
      <xdr:row>4</xdr:row>
      <xdr:rowOff>76200</xdr:rowOff>
    </xdr:from>
    <xdr:to>
      <xdr:col>14</xdr:col>
      <xdr:colOff>301208</xdr:colOff>
      <xdr:row>10</xdr:row>
      <xdr:rowOff>30480</xdr:rowOff>
    </xdr:to>
    <xdr:sp macro="" textlink="">
      <xdr:nvSpPr>
        <xdr:cNvPr id="20" name="Rectangle: Rounded Corners 19">
          <a:extLst>
            <a:ext uri="{FF2B5EF4-FFF2-40B4-BE49-F238E27FC236}">
              <a16:creationId xmlns:a16="http://schemas.microsoft.com/office/drawing/2014/main" id="{F20AFE62-7783-5928-3CEA-C6A09970FEF1}"/>
            </a:ext>
          </a:extLst>
        </xdr:cNvPr>
        <xdr:cNvSpPr/>
      </xdr:nvSpPr>
      <xdr:spPr>
        <a:xfrm>
          <a:off x="5973536" y="838200"/>
          <a:ext cx="2862072" cy="109728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a:solidFill>
                <a:schemeClr val="accent5">
                  <a:lumMod val="50000"/>
                </a:schemeClr>
              </a:solidFill>
              <a:latin typeface="Garamond" panose="02020404030301010803" pitchFamily="18" charset="0"/>
            </a:rPr>
            <a:t>Outstanding Customer</a:t>
          </a:r>
          <a:endParaRPr lang="en-US" sz="2000" baseline="0">
            <a:solidFill>
              <a:schemeClr val="accent5">
                <a:lumMod val="50000"/>
              </a:schemeClr>
            </a:solidFill>
            <a:latin typeface="Garamond" panose="02020404030301010803" pitchFamily="18" charset="0"/>
          </a:endParaRPr>
        </a:p>
        <a:p>
          <a:pPr algn="ctr"/>
          <a:endParaRPr lang="en-US" sz="500" b="0" i="0" u="none" strike="noStrike" baseline="0">
            <a:solidFill>
              <a:schemeClr val="lt1"/>
            </a:solidFill>
            <a:effectLst/>
            <a:latin typeface="Garamond" panose="02020404030301010803" pitchFamily="18" charset="0"/>
            <a:ea typeface="+mn-ea"/>
            <a:cs typeface="+mn-cs"/>
          </a:endParaRPr>
        </a:p>
        <a:p>
          <a:pPr algn="ctr"/>
          <a:r>
            <a:rPr lang="en-US" sz="2400" b="1">
              <a:solidFill>
                <a:schemeClr val="accent5">
                  <a:lumMod val="50000"/>
                </a:schemeClr>
              </a:solidFill>
              <a:latin typeface="Garamond" panose="02020404030301010803" pitchFamily="18" charset="0"/>
            </a:rPr>
            <a:t>Company D</a:t>
          </a:r>
        </a:p>
      </xdr:txBody>
    </xdr:sp>
    <xdr:clientData/>
  </xdr:twoCellAnchor>
  <xdr:twoCellAnchor>
    <xdr:from>
      <xdr:col>14</xdr:col>
      <xdr:colOff>378279</xdr:colOff>
      <xdr:row>4</xdr:row>
      <xdr:rowOff>76200</xdr:rowOff>
    </xdr:from>
    <xdr:to>
      <xdr:col>19</xdr:col>
      <xdr:colOff>192351</xdr:colOff>
      <xdr:row>10</xdr:row>
      <xdr:rowOff>30480</xdr:rowOff>
    </xdr:to>
    <xdr:sp macro="" textlink="">
      <xdr:nvSpPr>
        <xdr:cNvPr id="21" name="Rectangle: Rounded Corners 20">
          <a:extLst>
            <a:ext uri="{FF2B5EF4-FFF2-40B4-BE49-F238E27FC236}">
              <a16:creationId xmlns:a16="http://schemas.microsoft.com/office/drawing/2014/main" id="{57A11898-3523-EB3C-237E-19BE7D10CB38}"/>
            </a:ext>
          </a:extLst>
        </xdr:cNvPr>
        <xdr:cNvSpPr/>
      </xdr:nvSpPr>
      <xdr:spPr>
        <a:xfrm>
          <a:off x="8912679" y="838200"/>
          <a:ext cx="2862072" cy="109728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a:solidFill>
                <a:schemeClr val="accent5">
                  <a:lumMod val="50000"/>
                </a:schemeClr>
              </a:solidFill>
              <a:latin typeface="Garamond" panose="02020404030301010803" pitchFamily="18" charset="0"/>
            </a:rPr>
            <a:t>Most Profitable Month</a:t>
          </a:r>
          <a:endParaRPr lang="en-US" sz="2000" baseline="0">
            <a:solidFill>
              <a:schemeClr val="accent5">
                <a:lumMod val="50000"/>
              </a:schemeClr>
            </a:solidFill>
            <a:latin typeface="Garamond" panose="02020404030301010803" pitchFamily="18" charset="0"/>
          </a:endParaRPr>
        </a:p>
        <a:p>
          <a:pPr algn="ctr"/>
          <a:endParaRPr lang="en-US" sz="500" b="0" i="0" u="none" strike="noStrike" baseline="0">
            <a:solidFill>
              <a:schemeClr val="lt1"/>
            </a:solidFill>
            <a:effectLst/>
            <a:latin typeface="Garamond" panose="02020404030301010803" pitchFamily="18" charset="0"/>
            <a:ea typeface="+mn-ea"/>
            <a:cs typeface="+mn-cs"/>
          </a:endParaRPr>
        </a:p>
        <a:p>
          <a:pPr algn="ctr"/>
          <a:r>
            <a:rPr lang="en-US" sz="2400" b="1">
              <a:solidFill>
                <a:schemeClr val="accent5">
                  <a:lumMod val="50000"/>
                </a:schemeClr>
              </a:solidFill>
              <a:latin typeface="Garamond" panose="02020404030301010803" pitchFamily="18" charset="0"/>
            </a:rPr>
            <a:t>December</a:t>
          </a:r>
          <a:endParaRPr lang="en-US" sz="2000" b="1">
            <a:solidFill>
              <a:schemeClr val="accent5">
                <a:lumMod val="50000"/>
              </a:schemeClr>
            </a:solidFill>
            <a:latin typeface="Garamond" panose="02020404030301010803" pitchFamily="18" charset="0"/>
          </a:endParaRPr>
        </a:p>
      </xdr:txBody>
    </xdr:sp>
    <xdr:clientData/>
  </xdr:twoCellAnchor>
  <xdr:twoCellAnchor>
    <xdr:from>
      <xdr:col>19</xdr:col>
      <xdr:colOff>269422</xdr:colOff>
      <xdr:row>4</xdr:row>
      <xdr:rowOff>76200</xdr:rowOff>
    </xdr:from>
    <xdr:to>
      <xdr:col>24</xdr:col>
      <xdr:colOff>83494</xdr:colOff>
      <xdr:row>10</xdr:row>
      <xdr:rowOff>30480</xdr:rowOff>
    </xdr:to>
    <xdr:sp macro="" textlink="">
      <xdr:nvSpPr>
        <xdr:cNvPr id="22" name="Rectangle: Rounded Corners 21">
          <a:extLst>
            <a:ext uri="{FF2B5EF4-FFF2-40B4-BE49-F238E27FC236}">
              <a16:creationId xmlns:a16="http://schemas.microsoft.com/office/drawing/2014/main" id="{8AE9F67D-3681-650F-8798-0193D9D63A84}"/>
            </a:ext>
          </a:extLst>
        </xdr:cNvPr>
        <xdr:cNvSpPr/>
      </xdr:nvSpPr>
      <xdr:spPr>
        <a:xfrm>
          <a:off x="11851822" y="838200"/>
          <a:ext cx="2862072" cy="109728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a:solidFill>
                <a:schemeClr val="accent5">
                  <a:lumMod val="50000"/>
                </a:schemeClr>
              </a:solidFill>
              <a:latin typeface="Garamond" panose="02020404030301010803" pitchFamily="18" charset="0"/>
            </a:rPr>
            <a:t>Top Product Category</a:t>
          </a:r>
          <a:endParaRPr lang="en-US" sz="2000" baseline="0">
            <a:solidFill>
              <a:schemeClr val="accent5">
                <a:lumMod val="50000"/>
              </a:schemeClr>
            </a:solidFill>
            <a:latin typeface="Garamond" panose="02020404030301010803" pitchFamily="18" charset="0"/>
          </a:endParaRPr>
        </a:p>
        <a:p>
          <a:pPr algn="ctr"/>
          <a:endParaRPr lang="en-US" sz="500" b="0" i="0" u="none" strike="noStrike" baseline="0">
            <a:solidFill>
              <a:schemeClr val="lt1"/>
            </a:solidFill>
            <a:effectLst/>
            <a:latin typeface="Garamond" panose="02020404030301010803" pitchFamily="18" charset="0"/>
            <a:ea typeface="+mn-ea"/>
            <a:cs typeface="+mn-cs"/>
          </a:endParaRPr>
        </a:p>
        <a:p>
          <a:pPr algn="ctr"/>
          <a:r>
            <a:rPr lang="en-US" sz="2400" b="1">
              <a:solidFill>
                <a:schemeClr val="accent5">
                  <a:lumMod val="50000"/>
                </a:schemeClr>
              </a:solidFill>
              <a:latin typeface="Garamond" panose="02020404030301010803" pitchFamily="18" charset="0"/>
            </a:rPr>
            <a:t>Beverages</a:t>
          </a:r>
          <a:endParaRPr lang="en-US" sz="2000" b="1">
            <a:solidFill>
              <a:schemeClr val="accent5">
                <a:lumMod val="50000"/>
              </a:schemeClr>
            </a:solidFill>
            <a:latin typeface="Garamond" panose="02020404030301010803" pitchFamily="18" charset="0"/>
          </a:endParaRPr>
        </a:p>
      </xdr:txBody>
    </xdr:sp>
    <xdr:clientData/>
  </xdr:twoCellAnchor>
  <xdr:twoCellAnchor>
    <xdr:from>
      <xdr:col>24</xdr:col>
      <xdr:colOff>158850</xdr:colOff>
      <xdr:row>4</xdr:row>
      <xdr:rowOff>76200</xdr:rowOff>
    </xdr:from>
    <xdr:to>
      <xdr:col>28</xdr:col>
      <xdr:colOff>582522</xdr:colOff>
      <xdr:row>10</xdr:row>
      <xdr:rowOff>30480</xdr:rowOff>
    </xdr:to>
    <xdr:sp macro="" textlink="">
      <xdr:nvSpPr>
        <xdr:cNvPr id="24" name="Rectangle: Rounded Corners 23">
          <a:extLst>
            <a:ext uri="{FF2B5EF4-FFF2-40B4-BE49-F238E27FC236}">
              <a16:creationId xmlns:a16="http://schemas.microsoft.com/office/drawing/2014/main" id="{AE1E99A9-2B08-C98B-DBE7-3FE5FA0F9167}"/>
            </a:ext>
          </a:extLst>
        </xdr:cNvPr>
        <xdr:cNvSpPr/>
      </xdr:nvSpPr>
      <xdr:spPr>
        <a:xfrm>
          <a:off x="14789250" y="838200"/>
          <a:ext cx="2862072" cy="109728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a:solidFill>
                <a:schemeClr val="accent5">
                  <a:lumMod val="50000"/>
                </a:schemeClr>
              </a:solidFill>
              <a:latin typeface="Garamond" panose="02020404030301010803" pitchFamily="18" charset="0"/>
            </a:rPr>
            <a:t>Highest  Perforning State</a:t>
          </a:r>
        </a:p>
        <a:p>
          <a:pPr algn="ctr"/>
          <a:endParaRPr lang="en-US" sz="500" b="0" i="0" u="none" strike="noStrike" baseline="0">
            <a:solidFill>
              <a:schemeClr val="lt1"/>
            </a:solidFill>
            <a:effectLst/>
            <a:latin typeface="Garamond" panose="02020404030301010803" pitchFamily="18" charset="0"/>
            <a:ea typeface="+mn-ea"/>
            <a:cs typeface="+mn-cs"/>
          </a:endParaRPr>
        </a:p>
        <a:p>
          <a:pPr algn="ctr"/>
          <a:r>
            <a:rPr lang="en-US" sz="2400" b="1">
              <a:solidFill>
                <a:schemeClr val="accent5">
                  <a:lumMod val="50000"/>
                </a:schemeClr>
              </a:solidFill>
              <a:latin typeface="Garamond" panose="02020404030301010803" pitchFamily="18" charset="0"/>
            </a:rPr>
            <a:t>New York</a:t>
          </a:r>
        </a:p>
      </xdr:txBody>
    </xdr:sp>
    <xdr:clientData/>
  </xdr:twoCellAnchor>
  <xdr:twoCellAnchor>
    <xdr:from>
      <xdr:col>29</xdr:col>
      <xdr:colOff>51708</xdr:colOff>
      <xdr:row>4</xdr:row>
      <xdr:rowOff>76200</xdr:rowOff>
    </xdr:from>
    <xdr:to>
      <xdr:col>33</xdr:col>
      <xdr:colOff>475380</xdr:colOff>
      <xdr:row>10</xdr:row>
      <xdr:rowOff>30480</xdr:rowOff>
    </xdr:to>
    <xdr:sp macro="" textlink="">
      <xdr:nvSpPr>
        <xdr:cNvPr id="25" name="Rectangle: Rounded Corners 24">
          <a:extLst>
            <a:ext uri="{FF2B5EF4-FFF2-40B4-BE49-F238E27FC236}">
              <a16:creationId xmlns:a16="http://schemas.microsoft.com/office/drawing/2014/main" id="{3E7DE96A-7084-14AB-08AB-8F6013E377BB}"/>
            </a:ext>
          </a:extLst>
        </xdr:cNvPr>
        <xdr:cNvSpPr/>
      </xdr:nvSpPr>
      <xdr:spPr>
        <a:xfrm>
          <a:off x="17730108" y="838200"/>
          <a:ext cx="2862072" cy="109728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a:solidFill>
                <a:schemeClr val="accent5">
                  <a:lumMod val="50000"/>
                </a:schemeClr>
              </a:solidFill>
              <a:latin typeface="Garamond" panose="02020404030301010803" pitchFamily="18" charset="0"/>
            </a:rPr>
            <a:t>Top Ranked City </a:t>
          </a:r>
          <a:endParaRPr lang="en-US" sz="500" baseline="0">
            <a:solidFill>
              <a:schemeClr val="accent5">
                <a:lumMod val="50000"/>
              </a:schemeClr>
            </a:solidFill>
            <a:latin typeface="Garamond" panose="02020404030301010803" pitchFamily="18" charset="0"/>
          </a:endParaRPr>
        </a:p>
        <a:p>
          <a:pPr algn="ctr"/>
          <a:endParaRPr lang="en-US" sz="500" b="0" i="0" u="none" strike="noStrike" baseline="0">
            <a:solidFill>
              <a:schemeClr val="lt1"/>
            </a:solidFill>
            <a:effectLst/>
            <a:latin typeface="Garamond" panose="02020404030301010803" pitchFamily="18" charset="0"/>
            <a:ea typeface="+mn-ea"/>
            <a:cs typeface="+mn-cs"/>
          </a:endParaRPr>
        </a:p>
        <a:p>
          <a:pPr algn="ctr"/>
          <a:r>
            <a:rPr lang="en-US" sz="2400" b="1">
              <a:solidFill>
                <a:schemeClr val="accent5">
                  <a:lumMod val="50000"/>
                </a:schemeClr>
              </a:solidFill>
              <a:latin typeface="Garamond" panose="02020404030301010803" pitchFamily="18" charset="0"/>
            </a:rPr>
            <a:t>New</a:t>
          </a:r>
          <a:r>
            <a:rPr lang="en-US" sz="2400" b="1" baseline="0">
              <a:solidFill>
                <a:schemeClr val="accent5">
                  <a:lumMod val="50000"/>
                </a:schemeClr>
              </a:solidFill>
              <a:latin typeface="Garamond" panose="02020404030301010803" pitchFamily="18" charset="0"/>
            </a:rPr>
            <a:t> York City</a:t>
          </a:r>
          <a:endParaRPr lang="en-US" sz="2400" b="1">
            <a:solidFill>
              <a:schemeClr val="accent5">
                <a:lumMod val="50000"/>
              </a:schemeClr>
            </a:solidFill>
            <a:latin typeface="Garamond" panose="02020404030301010803" pitchFamily="18" charset="0"/>
          </a:endParaRPr>
        </a:p>
      </xdr:txBody>
    </xdr:sp>
    <xdr:clientData/>
  </xdr:twoCellAnchor>
  <xdr:twoCellAnchor>
    <xdr:from>
      <xdr:col>33</xdr:col>
      <xdr:colOff>533400</xdr:colOff>
      <xdr:row>4</xdr:row>
      <xdr:rowOff>76200</xdr:rowOff>
    </xdr:from>
    <xdr:to>
      <xdr:col>38</xdr:col>
      <xdr:colOff>347472</xdr:colOff>
      <xdr:row>10</xdr:row>
      <xdr:rowOff>30480</xdr:rowOff>
    </xdr:to>
    <xdr:sp macro="" textlink="">
      <xdr:nvSpPr>
        <xdr:cNvPr id="26" name="Rectangle: Rounded Corners 25">
          <a:extLst>
            <a:ext uri="{FF2B5EF4-FFF2-40B4-BE49-F238E27FC236}">
              <a16:creationId xmlns:a16="http://schemas.microsoft.com/office/drawing/2014/main" id="{50AE57CF-7924-4C04-55C4-67A91A4380FE}"/>
            </a:ext>
          </a:extLst>
        </xdr:cNvPr>
        <xdr:cNvSpPr/>
      </xdr:nvSpPr>
      <xdr:spPr>
        <a:xfrm>
          <a:off x="20650200" y="838200"/>
          <a:ext cx="2862072" cy="109728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a:solidFill>
                <a:schemeClr val="accent5">
                  <a:lumMod val="50000"/>
                </a:schemeClr>
              </a:solidFill>
              <a:latin typeface="Garamond" panose="02020404030301010803" pitchFamily="18" charset="0"/>
            </a:rPr>
            <a:t>Most</a:t>
          </a:r>
          <a:r>
            <a:rPr lang="en-US" sz="2000" baseline="0">
              <a:solidFill>
                <a:schemeClr val="accent5">
                  <a:lumMod val="50000"/>
                </a:schemeClr>
              </a:solidFill>
              <a:latin typeface="Garamond" panose="02020404030301010803" pitchFamily="18" charset="0"/>
            </a:rPr>
            <a:t> Successful </a:t>
          </a:r>
          <a:r>
            <a:rPr lang="en-US" sz="2000">
              <a:solidFill>
                <a:schemeClr val="accent5">
                  <a:lumMod val="50000"/>
                </a:schemeClr>
              </a:solidFill>
              <a:latin typeface="Garamond" panose="02020404030301010803" pitchFamily="18" charset="0"/>
            </a:rPr>
            <a:t>Ship City</a:t>
          </a:r>
          <a:endParaRPr lang="en-US" sz="1800" baseline="0">
            <a:solidFill>
              <a:schemeClr val="accent5">
                <a:lumMod val="50000"/>
              </a:schemeClr>
            </a:solidFill>
            <a:latin typeface="Garamond" panose="02020404030301010803" pitchFamily="18" charset="0"/>
          </a:endParaRPr>
        </a:p>
        <a:p>
          <a:pPr algn="ctr"/>
          <a:endParaRPr lang="en-US" sz="500" b="0" i="0" u="none" strike="noStrike" baseline="0">
            <a:solidFill>
              <a:schemeClr val="lt1"/>
            </a:solidFill>
            <a:effectLst/>
            <a:latin typeface="Garamond" panose="02020404030301010803" pitchFamily="18" charset="0"/>
            <a:ea typeface="+mn-ea"/>
            <a:cs typeface="+mn-cs"/>
          </a:endParaRPr>
        </a:p>
        <a:p>
          <a:pPr algn="ctr"/>
          <a:r>
            <a:rPr lang="en-US" sz="2400" b="1">
              <a:solidFill>
                <a:schemeClr val="accent5">
                  <a:lumMod val="50000"/>
                </a:schemeClr>
              </a:solidFill>
              <a:latin typeface="Garamond" panose="02020404030301010803" pitchFamily="18" charset="0"/>
            </a:rPr>
            <a:t>New York</a:t>
          </a:r>
          <a:r>
            <a:rPr lang="en-US" sz="2400" b="1" baseline="0">
              <a:solidFill>
                <a:schemeClr val="accent5">
                  <a:lumMod val="50000"/>
                </a:schemeClr>
              </a:solidFill>
              <a:latin typeface="Garamond" panose="02020404030301010803" pitchFamily="18" charset="0"/>
            </a:rPr>
            <a:t> City</a:t>
          </a:r>
          <a:endParaRPr lang="en-US" sz="2400" b="1">
            <a:solidFill>
              <a:schemeClr val="accent5">
                <a:lumMod val="50000"/>
              </a:schemeClr>
            </a:solidFill>
            <a:latin typeface="Garamond" panose="02020404030301010803" pitchFamily="18" charset="0"/>
          </a:endParaRPr>
        </a:p>
      </xdr:txBody>
    </xdr:sp>
    <xdr:clientData/>
  </xdr:twoCellAnchor>
  <xdr:twoCellAnchor editAs="oneCell">
    <xdr:from>
      <xdr:col>38</xdr:col>
      <xdr:colOff>419100</xdr:colOff>
      <xdr:row>4</xdr:row>
      <xdr:rowOff>76200</xdr:rowOff>
    </xdr:from>
    <xdr:to>
      <xdr:col>41</xdr:col>
      <xdr:colOff>533400</xdr:colOff>
      <xdr:row>18</xdr:row>
      <xdr:rowOff>0</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9CF71C49-D17E-FFB0-7841-DC35B4B674A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3583900" y="838200"/>
              <a:ext cx="1943100" cy="259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454152</xdr:colOff>
      <xdr:row>10</xdr:row>
      <xdr:rowOff>95250</xdr:rowOff>
    </xdr:from>
    <xdr:to>
      <xdr:col>38</xdr:col>
      <xdr:colOff>347472</xdr:colOff>
      <xdr:row>26</xdr:row>
      <xdr:rowOff>101346</xdr:rowOff>
    </xdr:to>
    <xdr:sp macro="" textlink="">
      <xdr:nvSpPr>
        <xdr:cNvPr id="9" name="Rectangle: Rounded Corners 8">
          <a:extLst>
            <a:ext uri="{FF2B5EF4-FFF2-40B4-BE49-F238E27FC236}">
              <a16:creationId xmlns:a16="http://schemas.microsoft.com/office/drawing/2014/main" id="{05AE9C3F-3CA4-4A36-D4E8-C7395C1ABE12}"/>
            </a:ext>
          </a:extLst>
        </xdr:cNvPr>
        <xdr:cNvSpPr/>
      </xdr:nvSpPr>
      <xdr:spPr>
        <a:xfrm>
          <a:off x="15694152" y="2000250"/>
          <a:ext cx="7818120" cy="3054096"/>
        </a:xfrm>
        <a:prstGeom prst="roundRect">
          <a:avLst>
            <a:gd name="adj" fmla="val 419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400">
            <a:solidFill>
              <a:schemeClr val="accent5">
                <a:lumMod val="50000"/>
              </a:schemeClr>
            </a:solidFill>
            <a:latin typeface="Garamond" panose="02020404030301010803" pitchFamily="18" charset="0"/>
            <a:ea typeface="+mn-ea"/>
            <a:cs typeface="+mn-cs"/>
          </a:endParaRPr>
        </a:p>
      </xdr:txBody>
    </xdr:sp>
    <xdr:clientData/>
  </xdr:twoCellAnchor>
  <xdr:twoCellAnchor>
    <xdr:from>
      <xdr:col>25</xdr:col>
      <xdr:colOff>454152</xdr:colOff>
      <xdr:row>10</xdr:row>
      <xdr:rowOff>95250</xdr:rowOff>
    </xdr:from>
    <xdr:to>
      <xdr:col>38</xdr:col>
      <xdr:colOff>347472</xdr:colOff>
      <xdr:row>26</xdr:row>
      <xdr:rowOff>101346</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1E17C3D4-2477-46A4-829C-8CE842CE28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5694152" y="2000250"/>
              <a:ext cx="7818120" cy="305409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26</xdr:col>
      <xdr:colOff>187806</xdr:colOff>
      <xdr:row>4</xdr:row>
      <xdr:rowOff>76200</xdr:rowOff>
    </xdr:from>
    <xdr:to>
      <xdr:col>26</xdr:col>
      <xdr:colOff>553566</xdr:colOff>
      <xdr:row>6</xdr:row>
      <xdr:rowOff>60960</xdr:rowOff>
    </xdr:to>
    <xdr:pic>
      <xdr:nvPicPr>
        <xdr:cNvPr id="27" name="Graphic 26" descr="Globe with solid fill">
          <a:extLst>
            <a:ext uri="{FF2B5EF4-FFF2-40B4-BE49-F238E27FC236}">
              <a16:creationId xmlns:a16="http://schemas.microsoft.com/office/drawing/2014/main" id="{82ABFAB8-BE55-D533-EBD9-68C84CD40CD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037406" y="838200"/>
          <a:ext cx="365760" cy="365760"/>
        </a:xfrm>
        <a:prstGeom prst="rect">
          <a:avLst/>
        </a:prstGeom>
      </xdr:spPr>
    </xdr:pic>
    <xdr:clientData/>
  </xdr:twoCellAnchor>
  <xdr:twoCellAnchor editAs="oneCell">
    <xdr:from>
      <xdr:col>7</xdr:col>
      <xdr:colOff>15349</xdr:colOff>
      <xdr:row>4</xdr:row>
      <xdr:rowOff>76200</xdr:rowOff>
    </xdr:from>
    <xdr:to>
      <xdr:col>7</xdr:col>
      <xdr:colOff>381109</xdr:colOff>
      <xdr:row>6</xdr:row>
      <xdr:rowOff>60960</xdr:rowOff>
    </xdr:to>
    <xdr:pic>
      <xdr:nvPicPr>
        <xdr:cNvPr id="29" name="Graphic 28" descr="Marker with solid fill">
          <a:extLst>
            <a:ext uri="{FF2B5EF4-FFF2-40B4-BE49-F238E27FC236}">
              <a16:creationId xmlns:a16="http://schemas.microsoft.com/office/drawing/2014/main" id="{263138D3-4275-A181-017B-4880DA3AC4E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282549" y="838200"/>
          <a:ext cx="365760" cy="365760"/>
        </a:xfrm>
        <a:prstGeom prst="rect">
          <a:avLst/>
        </a:prstGeom>
      </xdr:spPr>
    </xdr:pic>
    <xdr:clientData/>
  </xdr:twoCellAnchor>
  <xdr:twoCellAnchor editAs="oneCell">
    <xdr:from>
      <xdr:col>2</xdr:col>
      <xdr:colOff>124206</xdr:colOff>
      <xdr:row>4</xdr:row>
      <xdr:rowOff>76200</xdr:rowOff>
    </xdr:from>
    <xdr:to>
      <xdr:col>2</xdr:col>
      <xdr:colOff>489966</xdr:colOff>
      <xdr:row>6</xdr:row>
      <xdr:rowOff>60960</xdr:rowOff>
    </xdr:to>
    <xdr:pic>
      <xdr:nvPicPr>
        <xdr:cNvPr id="31" name="Graphic 30" descr="User with solid fill">
          <a:extLst>
            <a:ext uri="{FF2B5EF4-FFF2-40B4-BE49-F238E27FC236}">
              <a16:creationId xmlns:a16="http://schemas.microsoft.com/office/drawing/2014/main" id="{F75C86DB-807A-B86B-1509-39BD4C593DF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43406" y="838200"/>
          <a:ext cx="365760" cy="365760"/>
        </a:xfrm>
        <a:prstGeom prst="rect">
          <a:avLst/>
        </a:prstGeom>
      </xdr:spPr>
    </xdr:pic>
    <xdr:clientData/>
  </xdr:twoCellAnchor>
  <xdr:twoCellAnchor editAs="oneCell">
    <xdr:from>
      <xdr:col>21</xdr:col>
      <xdr:colOff>298378</xdr:colOff>
      <xdr:row>4</xdr:row>
      <xdr:rowOff>76200</xdr:rowOff>
    </xdr:from>
    <xdr:to>
      <xdr:col>22</xdr:col>
      <xdr:colOff>54538</xdr:colOff>
      <xdr:row>6</xdr:row>
      <xdr:rowOff>60960</xdr:rowOff>
    </xdr:to>
    <xdr:pic>
      <xdr:nvPicPr>
        <xdr:cNvPr id="33" name="Graphic 32" descr="Fork and knife with solid fill">
          <a:extLst>
            <a:ext uri="{FF2B5EF4-FFF2-40B4-BE49-F238E27FC236}">
              <a16:creationId xmlns:a16="http://schemas.microsoft.com/office/drawing/2014/main" id="{E25B5DC4-F738-2ED8-8757-486FBD5A308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099978" y="838200"/>
          <a:ext cx="365760" cy="365760"/>
        </a:xfrm>
        <a:prstGeom prst="rect">
          <a:avLst/>
        </a:prstGeom>
      </xdr:spPr>
    </xdr:pic>
    <xdr:clientData/>
  </xdr:twoCellAnchor>
  <xdr:twoCellAnchor editAs="oneCell">
    <xdr:from>
      <xdr:col>11</xdr:col>
      <xdr:colOff>516092</xdr:colOff>
      <xdr:row>4</xdr:row>
      <xdr:rowOff>76200</xdr:rowOff>
    </xdr:from>
    <xdr:to>
      <xdr:col>12</xdr:col>
      <xdr:colOff>272252</xdr:colOff>
      <xdr:row>6</xdr:row>
      <xdr:rowOff>60960</xdr:rowOff>
    </xdr:to>
    <xdr:pic>
      <xdr:nvPicPr>
        <xdr:cNvPr id="35" name="Graphic 34" descr="Social network with solid fill">
          <a:extLst>
            <a:ext uri="{FF2B5EF4-FFF2-40B4-BE49-F238E27FC236}">
              <a16:creationId xmlns:a16="http://schemas.microsoft.com/office/drawing/2014/main" id="{CDFD1EF1-FC41-A761-C706-1C8499F88F2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221692" y="838200"/>
          <a:ext cx="365760" cy="365760"/>
        </a:xfrm>
        <a:prstGeom prst="rect">
          <a:avLst/>
        </a:prstGeom>
      </xdr:spPr>
    </xdr:pic>
    <xdr:clientData/>
  </xdr:twoCellAnchor>
  <xdr:twoCellAnchor editAs="oneCell">
    <xdr:from>
      <xdr:col>35</xdr:col>
      <xdr:colOff>562356</xdr:colOff>
      <xdr:row>4</xdr:row>
      <xdr:rowOff>76200</xdr:rowOff>
    </xdr:from>
    <xdr:to>
      <xdr:col>36</xdr:col>
      <xdr:colOff>318516</xdr:colOff>
      <xdr:row>6</xdr:row>
      <xdr:rowOff>60960</xdr:rowOff>
    </xdr:to>
    <xdr:pic>
      <xdr:nvPicPr>
        <xdr:cNvPr id="37" name="Graphic 36" descr="Truck with solid fill">
          <a:extLst>
            <a:ext uri="{FF2B5EF4-FFF2-40B4-BE49-F238E27FC236}">
              <a16:creationId xmlns:a16="http://schemas.microsoft.com/office/drawing/2014/main" id="{DEBB905D-7CEA-B2CB-488A-72F0CC3415D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898356" y="838200"/>
          <a:ext cx="365760" cy="365760"/>
        </a:xfrm>
        <a:prstGeom prst="rect">
          <a:avLst/>
        </a:prstGeom>
      </xdr:spPr>
    </xdr:pic>
    <xdr:clientData/>
  </xdr:twoCellAnchor>
  <xdr:twoCellAnchor editAs="oneCell">
    <xdr:from>
      <xdr:col>31</xdr:col>
      <xdr:colOff>80664</xdr:colOff>
      <xdr:row>4</xdr:row>
      <xdr:rowOff>76200</xdr:rowOff>
    </xdr:from>
    <xdr:to>
      <xdr:col>31</xdr:col>
      <xdr:colOff>446424</xdr:colOff>
      <xdr:row>6</xdr:row>
      <xdr:rowOff>60960</xdr:rowOff>
    </xdr:to>
    <xdr:pic>
      <xdr:nvPicPr>
        <xdr:cNvPr id="39" name="Graphic 38" descr="City with solid fill">
          <a:extLst>
            <a:ext uri="{FF2B5EF4-FFF2-40B4-BE49-F238E27FC236}">
              <a16:creationId xmlns:a16="http://schemas.microsoft.com/office/drawing/2014/main" id="{7C49AF3A-9812-184A-B641-153AAA0CB971}"/>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8978264" y="838200"/>
          <a:ext cx="365760" cy="365760"/>
        </a:xfrm>
        <a:prstGeom prst="rect">
          <a:avLst/>
        </a:prstGeom>
      </xdr:spPr>
    </xdr:pic>
    <xdr:clientData/>
  </xdr:twoCellAnchor>
  <xdr:twoCellAnchor editAs="oneCell">
    <xdr:from>
      <xdr:col>16</xdr:col>
      <xdr:colOff>407235</xdr:colOff>
      <xdr:row>4</xdr:row>
      <xdr:rowOff>76200</xdr:rowOff>
    </xdr:from>
    <xdr:to>
      <xdr:col>17</xdr:col>
      <xdr:colOff>163395</xdr:colOff>
      <xdr:row>6</xdr:row>
      <xdr:rowOff>60960</xdr:rowOff>
    </xdr:to>
    <xdr:pic>
      <xdr:nvPicPr>
        <xdr:cNvPr id="41" name="Graphic 40" descr="Daily calendar with solid fill">
          <a:extLst>
            <a:ext uri="{FF2B5EF4-FFF2-40B4-BE49-F238E27FC236}">
              <a16:creationId xmlns:a16="http://schemas.microsoft.com/office/drawing/2014/main" id="{3BBA39DC-59E3-827B-5D2A-3763FF9CE1D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0160835" y="838200"/>
          <a:ext cx="365760" cy="365760"/>
        </a:xfrm>
        <a:prstGeom prst="rect">
          <a:avLst/>
        </a:prstGeom>
      </xdr:spPr>
    </xdr:pic>
    <xdr:clientData/>
  </xdr:twoCellAnchor>
  <xdr:twoCellAnchor editAs="oneCell">
    <xdr:from>
      <xdr:col>38</xdr:col>
      <xdr:colOff>400050</xdr:colOff>
      <xdr:row>43</xdr:row>
      <xdr:rowOff>38100</xdr:rowOff>
    </xdr:from>
    <xdr:to>
      <xdr:col>41</xdr:col>
      <xdr:colOff>533400</xdr:colOff>
      <xdr:row>59</xdr:row>
      <xdr:rowOff>21716</xdr:rowOff>
    </xdr:to>
    <mc:AlternateContent xmlns:mc="http://schemas.openxmlformats.org/markup-compatibility/2006" xmlns:a14="http://schemas.microsoft.com/office/drawing/2010/main">
      <mc:Choice Requires="a14">
        <xdr:graphicFrame macro="">
          <xdr:nvGraphicFramePr>
            <xdr:cNvPr id="42" name="Customer Name">
              <a:extLst>
                <a:ext uri="{FF2B5EF4-FFF2-40B4-BE49-F238E27FC236}">
                  <a16:creationId xmlns:a16="http://schemas.microsoft.com/office/drawing/2014/main" id="{3A239BB4-E32D-C320-CF83-C0C3E1EA24D3}"/>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23564850" y="8229600"/>
              <a:ext cx="1962150" cy="3031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438150</xdr:colOff>
      <xdr:row>18</xdr:row>
      <xdr:rowOff>43307</xdr:rowOff>
    </xdr:from>
    <xdr:to>
      <xdr:col>41</xdr:col>
      <xdr:colOff>552450</xdr:colOff>
      <xdr:row>26</xdr:row>
      <xdr:rowOff>152400</xdr:rowOff>
    </xdr:to>
    <mc:AlternateContent xmlns:mc="http://schemas.openxmlformats.org/markup-compatibility/2006" xmlns:a14="http://schemas.microsoft.com/office/drawing/2010/main">
      <mc:Choice Requires="a14">
        <xdr:graphicFrame macro="">
          <xdr:nvGraphicFramePr>
            <xdr:cNvPr id="43" name="Region">
              <a:extLst>
                <a:ext uri="{FF2B5EF4-FFF2-40B4-BE49-F238E27FC236}">
                  <a16:creationId xmlns:a16="http://schemas.microsoft.com/office/drawing/2014/main" id="{27A8068A-0B31-EE78-24C0-EC29F0F84F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602950" y="3472307"/>
              <a:ext cx="1943100" cy="1633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400050</xdr:colOff>
      <xdr:row>27</xdr:row>
      <xdr:rowOff>19050</xdr:rowOff>
    </xdr:from>
    <xdr:to>
      <xdr:col>41</xdr:col>
      <xdr:colOff>533400</xdr:colOff>
      <xdr:row>42</xdr:row>
      <xdr:rowOff>158496</xdr:rowOff>
    </xdr:to>
    <mc:AlternateContent xmlns:mc="http://schemas.openxmlformats.org/markup-compatibility/2006" xmlns:a14="http://schemas.microsoft.com/office/drawing/2010/main">
      <mc:Choice Requires="a14">
        <xdr:graphicFrame macro="">
          <xdr:nvGraphicFramePr>
            <xdr:cNvPr id="44" name="Product Name">
              <a:extLst>
                <a:ext uri="{FF2B5EF4-FFF2-40B4-BE49-F238E27FC236}">
                  <a16:creationId xmlns:a16="http://schemas.microsoft.com/office/drawing/2014/main" id="{4B445D4E-C09D-41D4-0338-EB35D35B7004}"/>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23564850" y="5162550"/>
              <a:ext cx="1962150" cy="2996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43</xdr:row>
      <xdr:rowOff>19050</xdr:rowOff>
    </xdr:from>
    <xdr:to>
      <xdr:col>9</xdr:col>
      <xdr:colOff>424434</xdr:colOff>
      <xdr:row>59</xdr:row>
      <xdr:rowOff>25146</xdr:rowOff>
    </xdr:to>
    <xdr:graphicFrame macro="">
      <xdr:nvGraphicFramePr>
        <xdr:cNvPr id="13" name="Chart 12">
          <a:extLst>
            <a:ext uri="{FF2B5EF4-FFF2-40B4-BE49-F238E27FC236}">
              <a16:creationId xmlns:a16="http://schemas.microsoft.com/office/drawing/2014/main" id="{AF9C0E4A-2EE1-4069-90CB-13182D77C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326566</xdr:colOff>
      <xdr:row>0</xdr:row>
      <xdr:rowOff>174169</xdr:rowOff>
    </xdr:from>
    <xdr:to>
      <xdr:col>28</xdr:col>
      <xdr:colOff>185051</xdr:colOff>
      <xdr:row>56</xdr:row>
      <xdr:rowOff>91965</xdr:rowOff>
    </xdr:to>
    <xdr:sp macro="" textlink="">
      <xdr:nvSpPr>
        <xdr:cNvPr id="4" name="Rectangle: Rounded Corners 3">
          <a:extLst>
            <a:ext uri="{FF2B5EF4-FFF2-40B4-BE49-F238E27FC236}">
              <a16:creationId xmlns:a16="http://schemas.microsoft.com/office/drawing/2014/main" id="{F1F7C1B1-239C-4ECC-ADD3-82D776FBCB32}"/>
            </a:ext>
          </a:extLst>
        </xdr:cNvPr>
        <xdr:cNvSpPr/>
      </xdr:nvSpPr>
      <xdr:spPr>
        <a:xfrm>
          <a:off x="8812475" y="174169"/>
          <a:ext cx="8344394" cy="1042416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i="0">
              <a:solidFill>
                <a:schemeClr val="tx2"/>
              </a:solidFill>
              <a:effectLst/>
              <a:latin typeface="Garamond" panose="02020404030301010803" pitchFamily="18" charset="0"/>
              <a:ea typeface="+mn-ea"/>
              <a:cs typeface="+mn-cs"/>
            </a:rPr>
            <a:t>General Insights</a:t>
          </a:r>
        </a:p>
        <a:p>
          <a:pPr marL="0" indent="0" algn="l"/>
          <a:r>
            <a:rPr lang="en-US" sz="1400" b="0" i="0">
              <a:solidFill>
                <a:schemeClr val="tx2"/>
              </a:solidFill>
              <a:effectLst/>
              <a:latin typeface="Garamond" panose="02020404030301010803" pitchFamily="18" charset="0"/>
              <a:ea typeface="+mn-ea"/>
              <a:cs typeface="+mn-cs"/>
            </a:rPr>
            <a:t>Maintain and strengthen the Jams &amp; Preserves category through targeted promotions. Address low performance in Baked Goods &amp; Mixes by reviewing pricing, quality, or marketing. Offer loyalty incentives to Company D to increase purchase frequency in low months like April.</a:t>
          </a:r>
        </a:p>
        <a:p>
          <a:pPr marL="0" indent="0" algn="l"/>
          <a:endParaRPr lang="en-US" sz="1400" b="0" i="0">
            <a:solidFill>
              <a:schemeClr val="tx2"/>
            </a:solidFill>
            <a:effectLst/>
            <a:latin typeface="Garamond" panose="02020404030301010803" pitchFamily="18" charset="0"/>
            <a:ea typeface="+mn-ea"/>
            <a:cs typeface="+mn-cs"/>
          </a:endParaRPr>
        </a:p>
        <a:p>
          <a:pPr marL="0" indent="0" algn="l"/>
          <a:r>
            <a:rPr lang="en-US" sz="1400" b="0" i="0">
              <a:solidFill>
                <a:schemeClr val="tx2"/>
              </a:solidFill>
              <a:effectLst/>
              <a:latin typeface="Garamond" panose="02020404030301010803" pitchFamily="18" charset="0"/>
              <a:ea typeface="+mn-ea"/>
              <a:cs typeface="+mn-cs"/>
            </a:rPr>
            <a:t>Continue leveraging Beverages as a primary driver by introducing bundles or upselling in high months like December. Investigate reasons for low Soup sales and consider recipe innovation or rebranding. Develop city-specific campaigns for Miami and Memphis to maintain and grow dominance.</a:t>
          </a:r>
        </a:p>
        <a:p>
          <a:pPr marL="0" indent="0" algn="l"/>
          <a:endParaRPr lang="en-US" sz="1400" b="0" i="0">
            <a:solidFill>
              <a:schemeClr val="tx2"/>
            </a:solidFill>
            <a:effectLst/>
            <a:latin typeface="Garamond" panose="02020404030301010803" pitchFamily="18" charset="0"/>
            <a:ea typeface="+mn-ea"/>
            <a:cs typeface="+mn-cs"/>
          </a:endParaRPr>
        </a:p>
        <a:p>
          <a:pPr marL="0" indent="0" algn="l"/>
          <a:r>
            <a:rPr lang="en-US" sz="1400" b="0" i="0">
              <a:solidFill>
                <a:schemeClr val="tx2"/>
              </a:solidFill>
              <a:effectLst/>
              <a:latin typeface="Garamond" panose="02020404030301010803" pitchFamily="18" charset="0"/>
              <a:ea typeface="+mn-ea"/>
              <a:cs typeface="+mn-cs"/>
            </a:rPr>
            <a:t>Build on Beverages’ success by expanding product lines or introducing premium variants. Address Candy category weakness by reviewing distribution or promotional strategies. Increase low-month sales (April) through seasonal discounts or partnerships in Denver.</a:t>
          </a:r>
        </a:p>
        <a:p>
          <a:pPr marL="0" indent="0" algn="l"/>
          <a:endParaRPr lang="en-US" sz="1400" b="0" i="0">
            <a:solidFill>
              <a:schemeClr val="tx2"/>
            </a:solidFill>
            <a:effectLst/>
            <a:latin typeface="Garamond" panose="02020404030301010803" pitchFamily="18" charset="0"/>
            <a:ea typeface="+mn-ea"/>
            <a:cs typeface="+mn-cs"/>
          </a:endParaRPr>
        </a:p>
        <a:p>
          <a:pPr marL="0" indent="0" algn="l"/>
          <a:r>
            <a:rPr lang="en-US" sz="1400" b="0" i="0">
              <a:solidFill>
                <a:schemeClr val="tx2"/>
              </a:solidFill>
              <a:effectLst/>
              <a:latin typeface="Garamond" panose="02020404030301010803" pitchFamily="18" charset="0"/>
              <a:ea typeface="+mn-ea"/>
              <a:cs typeface="+mn-cs"/>
            </a:rPr>
            <a:t>Capitalize on Condiments’ strong sales with seasonal promotions or bundle offers. Improve Beverage category performance by exploring new flavors or packaging options. Retain high-value customers like Company J and Company Y through exclusive deals.</a:t>
          </a:r>
        </a:p>
        <a:p>
          <a:pPr marL="0" indent="0" algn="l"/>
          <a:endParaRPr lang="en-US" sz="1400" b="0" i="0">
            <a:solidFill>
              <a:schemeClr val="tx2"/>
            </a:solidFill>
            <a:effectLst/>
            <a:latin typeface="Garamond" panose="02020404030301010803" pitchFamily="18" charset="0"/>
            <a:ea typeface="+mn-ea"/>
            <a:cs typeface="+mn-cs"/>
          </a:endParaRPr>
        </a:p>
        <a:p>
          <a:pPr marL="0" indent="0" algn="l"/>
          <a:r>
            <a:rPr lang="en-US" sz="1400" b="0" i="0">
              <a:solidFill>
                <a:schemeClr val="tx2"/>
              </a:solidFill>
              <a:effectLst/>
              <a:latin typeface="Garamond" panose="02020404030301010803" pitchFamily="18" charset="0"/>
              <a:ea typeface="+mn-ea"/>
              <a:cs typeface="+mn-cs"/>
            </a:rPr>
            <a:t>Boost visibility of Sauces during peak festive months for higher revenue spikes. Investigate low sales in Dried Fruit &amp; Nuts</a:t>
          </a:r>
          <a:r>
            <a:rPr lang="en-US" sz="1400" b="0" i="0" baseline="0">
              <a:solidFill>
                <a:schemeClr val="tx2"/>
              </a:solidFill>
              <a:effectLst/>
              <a:latin typeface="Garamond" panose="02020404030301010803" pitchFamily="18" charset="0"/>
              <a:ea typeface="+mn-ea"/>
              <a:cs typeface="+mn-cs"/>
            </a:rPr>
            <a:t> </a:t>
          </a:r>
          <a:r>
            <a:rPr lang="en-US" sz="1400" b="0" i="0">
              <a:solidFill>
                <a:schemeClr val="tx2"/>
              </a:solidFill>
              <a:effectLst/>
              <a:latin typeface="Garamond" panose="02020404030301010803" pitchFamily="18" charset="0"/>
              <a:ea typeface="+mn-ea"/>
              <a:cs typeface="+mn-cs"/>
            </a:rPr>
            <a:t>possible rebranding or new product mixes. Run targeted advertising in Los Angeles and Las Vegas to maintain market share.</a:t>
          </a:r>
        </a:p>
        <a:p>
          <a:pPr marL="0" indent="0" algn="l"/>
          <a:endParaRPr lang="en-US" sz="1400" b="0" i="0">
            <a:solidFill>
              <a:schemeClr val="tx2"/>
            </a:solidFill>
            <a:effectLst/>
            <a:latin typeface="Garamond" panose="02020404030301010803" pitchFamily="18" charset="0"/>
            <a:ea typeface="+mn-ea"/>
            <a:cs typeface="+mn-cs"/>
          </a:endParaRPr>
        </a:p>
        <a:p>
          <a:pPr marL="0" indent="0" algn="l"/>
          <a:r>
            <a:rPr lang="en-US" sz="1400" b="0" i="0">
              <a:solidFill>
                <a:schemeClr val="tx2"/>
              </a:solidFill>
              <a:effectLst/>
              <a:latin typeface="Garamond" panose="02020404030301010803" pitchFamily="18" charset="0"/>
              <a:ea typeface="+mn-ea"/>
              <a:cs typeface="+mn-cs"/>
            </a:rPr>
            <a:t>Increase Beverage category marketing efforts to capture more of the market. Address performance gap in Dried Fruit &amp; Nuts by innovating or offering discounts. Offer Milwaukee-based promotions to improve customer loyalty.</a:t>
          </a:r>
        </a:p>
        <a:p>
          <a:pPr marL="0" indent="0" algn="l"/>
          <a:endParaRPr lang="en-US" sz="1400" b="0" i="0">
            <a:solidFill>
              <a:schemeClr val="tx2"/>
            </a:solidFill>
            <a:effectLst/>
            <a:latin typeface="Garamond" panose="02020404030301010803" pitchFamily="18" charset="0"/>
            <a:ea typeface="+mn-ea"/>
            <a:cs typeface="+mn-cs"/>
          </a:endParaRPr>
        </a:p>
        <a:p>
          <a:pPr marL="0" indent="0" algn="l"/>
          <a:r>
            <a:rPr lang="en-US" sz="1400" b="0" i="0">
              <a:solidFill>
                <a:schemeClr val="tx2"/>
              </a:solidFill>
              <a:effectLst/>
              <a:latin typeface="Garamond" panose="02020404030301010803" pitchFamily="18" charset="0"/>
              <a:ea typeface="+mn-ea"/>
              <a:cs typeface="+mn-cs"/>
            </a:rPr>
            <a:t>Maintain Beverages as a flagship category while pushing Candy sales through cross-promotions. Strengthen performance in February via holiday or post-holiday campaigns. Develop tailored campaigns for Portland, Seattle, and Boise based on each city’s preferences.</a:t>
          </a:r>
        </a:p>
        <a:p>
          <a:pPr marL="0" indent="0" algn="l"/>
          <a:endParaRPr lang="en-US" sz="1400" b="0" i="0">
            <a:solidFill>
              <a:schemeClr val="tx2"/>
            </a:solidFill>
            <a:effectLst/>
            <a:latin typeface="Garamond" panose="02020404030301010803" pitchFamily="18" charset="0"/>
            <a:ea typeface="+mn-ea"/>
            <a:cs typeface="+mn-cs"/>
          </a:endParaRPr>
        </a:p>
        <a:p>
          <a:pPr marL="0" indent="0" algn="l"/>
          <a:r>
            <a:rPr lang="en-US" sz="1400" b="0" i="0">
              <a:solidFill>
                <a:schemeClr val="tx2"/>
              </a:solidFill>
              <a:effectLst/>
              <a:latin typeface="Garamond" panose="02020404030301010803" pitchFamily="18" charset="0"/>
              <a:ea typeface="+mn-ea"/>
              <a:cs typeface="+mn-cs"/>
            </a:rPr>
            <a:t>Focus on Dairy Products by introducing value packs or brand collaborations. Address low Soup sales by adjusting marketing or launching healthier versions. Increase off-peak month sales with seasonal promotions in Salt Lake City.</a:t>
          </a:r>
        </a:p>
        <a:p>
          <a:pPr marL="0" indent="0" algn="l"/>
          <a:endParaRPr lang="en-US" sz="1400" b="0" i="0">
            <a:solidFill>
              <a:schemeClr val="tx2"/>
            </a:solidFill>
            <a:effectLst/>
            <a:latin typeface="Garamond" panose="02020404030301010803" pitchFamily="18" charset="0"/>
            <a:ea typeface="+mn-ea"/>
            <a:cs typeface="+mn-cs"/>
          </a:endParaRPr>
        </a:p>
      </xdr:txBody>
    </xdr:sp>
    <xdr:clientData/>
  </xdr:twoCellAnchor>
  <xdr:twoCellAnchor>
    <xdr:from>
      <xdr:col>0</xdr:col>
      <xdr:colOff>133350</xdr:colOff>
      <xdr:row>0</xdr:row>
      <xdr:rowOff>171449</xdr:rowOff>
    </xdr:from>
    <xdr:to>
      <xdr:col>13</xdr:col>
      <xdr:colOff>598714</xdr:colOff>
      <xdr:row>56</xdr:row>
      <xdr:rowOff>86591</xdr:rowOff>
    </xdr:to>
    <xdr:sp macro="" textlink="">
      <xdr:nvSpPr>
        <xdr:cNvPr id="2" name="Rectangle: Rounded Corners 1">
          <a:extLst>
            <a:ext uri="{FF2B5EF4-FFF2-40B4-BE49-F238E27FC236}">
              <a16:creationId xmlns:a16="http://schemas.microsoft.com/office/drawing/2014/main" id="{5CF0021D-B7BF-4BEE-A1F5-CCF7797903D6}"/>
            </a:ext>
          </a:extLst>
        </xdr:cNvPr>
        <xdr:cNvSpPr/>
      </xdr:nvSpPr>
      <xdr:spPr>
        <a:xfrm>
          <a:off x="133350" y="171449"/>
          <a:ext cx="8345137" cy="10421506"/>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lt1"/>
              </a:solidFill>
              <a:effectLst/>
              <a:latin typeface="Garamond" panose="02020404030301010803" pitchFamily="18" charset="0"/>
              <a:ea typeface="+mn-ea"/>
              <a:cs typeface="+mn-cs"/>
            </a:rPr>
            <a:t>General Observations</a:t>
          </a:r>
          <a:endParaRPr lang="en-US" sz="1400" b="1" i="0" u="none" strike="noStrike">
            <a:solidFill>
              <a:schemeClr val="lt1"/>
            </a:solidFill>
            <a:effectLst/>
            <a:latin typeface="Garamond" panose="02020404030301010803" pitchFamily="18" charset="0"/>
            <a:ea typeface="+mn-ea"/>
            <a:cs typeface="+mn-cs"/>
          </a:endParaRPr>
        </a:p>
        <a:p>
          <a:pPr algn="l"/>
          <a:r>
            <a:rPr lang="en-US" sz="1400" b="0" i="0" u="none" strike="noStrike" baseline="0">
              <a:solidFill>
                <a:schemeClr val="lt1"/>
              </a:solidFill>
              <a:effectLst/>
              <a:latin typeface="Garamond" panose="02020404030301010803" pitchFamily="18" charset="0"/>
              <a:ea typeface="+mn-ea"/>
              <a:cs typeface="+mn-cs"/>
            </a:rPr>
            <a:t>Andrew Cencini generated $67,180.50 in total revenue from the East Region, with peak sales in June ($11,595.00) and lowest in April ($738.40), completing 31 transactions most in the 0-1000 range (15) and least in the 7000-8000 range (1), his top product category being Jams &amp; Preserves ($41,391.00) and lowest Baked Goods &amp; Mixes ($2,116.00), with New York as his shipping city and Company D as his customer.</a:t>
          </a:r>
        </a:p>
        <a:p>
          <a:pPr algn="l"/>
          <a:endParaRPr lang="en-US" sz="1400" b="0" i="0" u="none" strike="noStrike" baseline="0">
            <a:solidFill>
              <a:schemeClr val="lt1"/>
            </a:solidFill>
            <a:effectLst/>
            <a:latin typeface="Garamond" panose="02020404030301010803" pitchFamily="18" charset="0"/>
            <a:ea typeface="+mn-ea"/>
            <a:cs typeface="+mn-cs"/>
          </a:endParaRPr>
        </a:p>
        <a:p>
          <a:pPr algn="l"/>
          <a:r>
            <a:rPr lang="en-US" sz="1400" b="0" i="0" u="none" strike="noStrike" baseline="0">
              <a:solidFill>
                <a:schemeClr val="lt1"/>
              </a:solidFill>
              <a:effectLst/>
              <a:latin typeface="Garamond" panose="02020404030301010803" pitchFamily="18" charset="0"/>
              <a:ea typeface="+mn-ea"/>
              <a:cs typeface="+mn-cs"/>
            </a:rPr>
            <a:t>Anne Larsen generated $93,858.33 in total revenue from the South Region, with peak sales in December ($12,458.47) and lowest in September ($4,629.11), completing 87 transactions most in the 0-1000 range (50) and least in the 4000-5000 range (1); her top product category was Beverages ($29,278.08) and lowest Soups ($10,663.25), with ship cities Miami ($50,145.33) and Memphis ($43,713.00), and key customers Company BB ($43,713.00), Company Z ($28,208.25), and Company K ($21,937.08).</a:t>
          </a:r>
        </a:p>
        <a:p>
          <a:pPr algn="l"/>
          <a:endParaRPr lang="en-US" sz="1400" b="0" i="0" u="none" strike="noStrike" baseline="0">
            <a:solidFill>
              <a:schemeClr val="lt1"/>
            </a:solidFill>
            <a:effectLst/>
            <a:latin typeface="Garamond" panose="02020404030301010803" pitchFamily="18" charset="0"/>
            <a:ea typeface="+mn-ea"/>
            <a:cs typeface="+mn-cs"/>
          </a:endParaRPr>
        </a:p>
        <a:p>
          <a:pPr algn="l"/>
          <a:r>
            <a:rPr lang="en-US" sz="1400" b="0" i="0" u="none" strike="noStrike" baseline="0">
              <a:solidFill>
                <a:schemeClr val="lt1"/>
              </a:solidFill>
              <a:effectLst/>
              <a:latin typeface="Garamond" panose="02020404030301010803" pitchFamily="18" charset="0"/>
              <a:ea typeface="+mn-ea"/>
              <a:cs typeface="+mn-cs"/>
            </a:rPr>
            <a:t>Jan Kotas generated $16,350.50 in total revenue from the West Region, with peak sales in June ($4,928.00) and lowest in April ($322.00), completing 16 transactions most in the 0-1000 range (8) and least in the 3000-4000 range (1); his top product category was Beverages ($6,986.00) and lowest Candy ($2,422.50), with Denver as his ship city and Company CC as his customer.</a:t>
          </a:r>
        </a:p>
        <a:p>
          <a:pPr algn="l"/>
          <a:endParaRPr lang="en-US" sz="1400" b="0" i="0" u="none" strike="noStrike" baseline="0">
            <a:solidFill>
              <a:schemeClr val="lt1"/>
            </a:solidFill>
            <a:effectLst/>
            <a:latin typeface="Garamond" panose="02020404030301010803" pitchFamily="18" charset="0"/>
            <a:ea typeface="+mn-ea"/>
            <a:cs typeface="+mn-cs"/>
          </a:endParaRPr>
        </a:p>
        <a:p>
          <a:pPr algn="l"/>
          <a:r>
            <a:rPr lang="en-US" sz="1400" b="0" i="0" u="none" strike="noStrike" baseline="0">
              <a:solidFill>
                <a:schemeClr val="lt1"/>
              </a:solidFill>
              <a:effectLst/>
              <a:latin typeface="Garamond" panose="02020404030301010803" pitchFamily="18" charset="0"/>
              <a:ea typeface="+mn-ea"/>
              <a:cs typeface="+mn-cs"/>
            </a:rPr>
            <a:t>Laura Giussani generated $41,095.01 in total revenue from the East Region, with peak sales in June ($6700.6) and lowest in March ($1083.5), completing 57 transactions most in the 0-1000 range (44) and least in the 2000-3000 range (5); her top product category was Condiments ($15048.00) and lowest Beverages ($923.91), with Chicago ($41,095.01) as ship cities and key customers Company J ($29,133.01) and Company Y ($11,962.00).</a:t>
          </a:r>
        </a:p>
        <a:p>
          <a:pPr algn="l"/>
          <a:endParaRPr lang="en-US" sz="1400" b="0" i="0" u="none" strike="noStrike" baseline="0">
            <a:solidFill>
              <a:schemeClr val="lt1"/>
            </a:solidFill>
            <a:effectLst/>
            <a:latin typeface="Garamond" panose="02020404030301010803" pitchFamily="18" charset="0"/>
            <a:ea typeface="+mn-ea"/>
            <a:cs typeface="+mn-cs"/>
          </a:endParaRPr>
        </a:p>
        <a:p>
          <a:pPr algn="l"/>
          <a:r>
            <a:rPr lang="en-US" sz="1400" b="0" i="0" u="none" strike="noStrike" baseline="0">
              <a:solidFill>
                <a:schemeClr val="lt1"/>
              </a:solidFill>
              <a:effectLst/>
              <a:latin typeface="Garamond" panose="02020404030301010803" pitchFamily="18" charset="0"/>
              <a:ea typeface="+mn-ea"/>
              <a:cs typeface="+mn-cs"/>
            </a:rPr>
            <a:t>Mariya Sergienko generated $42,370.88 in total revenue from the West Region, with peak sales in December ($7,653.16) and lowest in November ($1,320.00), completing 35 transactions most in the 0-1000 range (23) and least in the 4000-5000 range (1); her top product category was Sauces ($18,080.00) and lowest Dried Fruit &amp; Nuts ($409.5), with ship cities Los Angelas ($27,005.38) and Las Vegas ($15365.5), and key customers Company C ($27,005.38), Company L ($14,074), and Company AA ($1,291.50).</a:t>
          </a:r>
        </a:p>
        <a:p>
          <a:pPr algn="l"/>
          <a:endParaRPr lang="en-US" sz="1400" b="0" i="0" u="none" strike="noStrike" baseline="0">
            <a:solidFill>
              <a:schemeClr val="lt1"/>
            </a:solidFill>
            <a:effectLst/>
            <a:latin typeface="Garamond" panose="02020404030301010803" pitchFamily="18" charset="0"/>
            <a:ea typeface="+mn-ea"/>
            <a:cs typeface="+mn-cs"/>
          </a:endParaRPr>
        </a:p>
        <a:p>
          <a:pPr algn="l"/>
          <a:r>
            <a:rPr lang="en-US" sz="1400" b="0" i="0" u="none" strike="noStrike" baseline="0">
              <a:solidFill>
                <a:schemeClr val="lt1"/>
              </a:solidFill>
              <a:effectLst/>
              <a:latin typeface="Garamond" panose="02020404030301010803" pitchFamily="18" charset="0"/>
              <a:ea typeface="+mn-ea"/>
              <a:cs typeface="+mn-cs"/>
            </a:rPr>
            <a:t>Michael Neipper generated $37,428.00 in total revenue from the North Region, with peak sales in October ($6738.50) and lowest in April ($680.00), completing 36 transactions most in the 0-1000 range (22) and least in the 3000-4000 range (1), his top product category being Beverages ($10,178.00) and lowest Dried Fruit &amp; Nuts ($8,642.00), with Milwaukee his shipping city and Company F as his customer.</a:t>
          </a:r>
        </a:p>
        <a:p>
          <a:pPr algn="l"/>
          <a:endParaRPr lang="en-US" sz="1400" b="0" i="0" u="none" strike="noStrike" baseline="0">
            <a:solidFill>
              <a:schemeClr val="lt1"/>
            </a:solidFill>
            <a:effectLst/>
            <a:latin typeface="Garamond" panose="02020404030301010803" pitchFamily="18" charset="0"/>
            <a:ea typeface="+mn-ea"/>
            <a:cs typeface="+mn-cs"/>
          </a:endParaRPr>
        </a:p>
        <a:p>
          <a:pPr algn="l"/>
          <a:r>
            <a:rPr lang="en-US" sz="1400" b="0" i="0" u="none" strike="noStrike">
              <a:solidFill>
                <a:schemeClr val="lt1"/>
              </a:solidFill>
              <a:effectLst/>
              <a:latin typeface="Garamond" panose="02020404030301010803" pitchFamily="18" charset="0"/>
              <a:ea typeface="+mn-ea"/>
              <a:cs typeface="+mn-cs"/>
            </a:rPr>
            <a:t>Nancy Freehafer  the top sales Rep revenue generated $104,252.34 in total revenue from the North Region, with peak sales in December ($12,458.47) and lowest in February ($1,694.95), completing 81 transactions most in the 0-1000 range (45) and least in the 4000-5000 range (2); her top product category was Beverages ($47,695.99) and lowest Candy ($6,336.75), with ship cities Portland ($50,208.35), Seattle ($36,839.99) and Boise ($17,204.00), and key customers Company H  ($50,208.35), Company A ($36,839.99) and Company G ($17,204.00).</a:t>
          </a:r>
        </a:p>
        <a:p>
          <a:pPr algn="l"/>
          <a:r>
            <a:rPr lang="en-US" sz="1400" b="0" i="0" u="none" strike="noStrike">
              <a:solidFill>
                <a:schemeClr val="lt1"/>
              </a:solidFill>
              <a:effectLst/>
              <a:latin typeface="Garamond" panose="02020404030301010803" pitchFamily="18" charset="0"/>
              <a:ea typeface="+mn-ea"/>
              <a:cs typeface="+mn-cs"/>
            </a:rPr>
            <a:t> </a:t>
          </a:r>
        </a:p>
        <a:p>
          <a:pPr algn="l"/>
          <a:r>
            <a:rPr lang="en-US" sz="1400" b="0" i="0" u="none" strike="noStrike">
              <a:solidFill>
                <a:schemeClr val="lt1"/>
              </a:solidFill>
              <a:effectLst/>
              <a:latin typeface="Garamond" panose="02020404030301010803" pitchFamily="18" charset="0"/>
              <a:ea typeface="+mn-ea"/>
              <a:cs typeface="+mn-cs"/>
            </a:rPr>
            <a:t>Robert Zare generated $32,530.60 in total revenue from the West Region, with peak sales in October ($4,542.85) and lowest in February ($260.55), completing 26 transactions most in the 0-1000 range (11) and least in the 3000-4000 range (1), his top product category being Dairy Products ($18,444.00) and lowest Soups ($3,030.10), with Salt Lake City his shipping city and Company I as his customer.</a:t>
          </a:r>
        </a:p>
        <a:p>
          <a:pPr algn="l"/>
          <a:endParaRPr lang="en-US" sz="1400" b="0" i="0" u="none" strike="noStrike">
            <a:solidFill>
              <a:schemeClr val="lt1"/>
            </a:solidFill>
            <a:effectLst/>
            <a:latin typeface="Garamond" panose="02020404030301010803" pitchFamily="18" charset="0"/>
            <a:ea typeface="+mn-ea"/>
            <a:cs typeface="+mn-cs"/>
          </a:endParaRPr>
        </a:p>
        <a:p>
          <a:pPr algn="l"/>
          <a:endParaRPr lang="en-US" sz="1400" b="0" i="0" u="none" strike="noStrike">
            <a:solidFill>
              <a:schemeClr val="lt1"/>
            </a:solidFill>
            <a:effectLst/>
            <a:latin typeface="Garamond" panose="02020404030301010803" pitchFamily="18" charset="0"/>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USER/Downloads/TASK%2016%20observation%20and%20insigh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5.239632291668" createdVersion="7" refreshedVersion="7" minRefreshableVersion="3" recordCount="369" xr:uid="{E1DD9F46-54D7-4E4D-8ABC-FCFA3FB3074F}">
  <cacheSource type="worksheet">
    <worksheetSource ref="A1:Z370" sheet="Data (2)" r:id="rId2"/>
  </cacheSource>
  <cacheFields count="27">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6" base="1">
        <rangePr groupBy="days" startDate="2014-01-01T00:00:00" endDate="2014-12-30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4"/>
        </groupItems>
      </fieldGroup>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0" endNum="7938" groupInterval="1000"/>
        <groupItems count="10">
          <s v="&lt;0"/>
          <s v="0-1000"/>
          <s v="1000-2000"/>
          <s v="2000-3000"/>
          <s v="3000-4000"/>
          <s v="4000-5000"/>
          <s v="5000-6000"/>
          <s v="6000-7000"/>
          <s v="7000-8000"/>
          <s v="&gt;8000"/>
        </groupItems>
      </fieldGroup>
    </cacheField>
    <cacheField name="Shipping Fee" numFmtId="165">
      <sharedItems containsSemiMixedTypes="0" containsString="0" containsNumber="1" minValue="3.7345000000000002" maxValue="769.98599999999999"/>
    </cacheField>
    <cacheField name="Months"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86.892282060187" createdVersion="7" refreshedVersion="8" minRefreshableVersion="3" recordCount="369" xr:uid="{BC733093-577E-45F6-9FEE-BCECFDDE4F63}">
  <cacheSource type="worksheet">
    <worksheetSource ref="A1:Z370" sheet="Data"/>
  </cacheSource>
  <cacheFields count="26">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base="1">
        <rangePr groupBy="months" startDate="2014-01-01T00:00:00" endDate="2014-12-30T00:00:00"/>
        <groupItems count="14">
          <s v="&lt;1/1/2014"/>
          <s v="Jan"/>
          <s v="Feb"/>
          <s v="Mar"/>
          <s v="Apr"/>
          <s v="May"/>
          <s v="Jun"/>
          <s v="Jul"/>
          <s v="Aug"/>
          <s v="Sep"/>
          <s v="Oct"/>
          <s v="Nov"/>
          <s v="Dec"/>
          <s v="&gt;12/30/2014"/>
        </groupItems>
      </fieldGroup>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44">
      <sharedItems containsString="0" containsBlank="1" containsNumber="1" minValue="2.99" maxValue="81"/>
    </cacheField>
    <cacheField name="Quantity" numFmtId="0">
      <sharedItems containsString="0" containsBlank="1" containsNumber="1" containsInteger="1" minValue="10" maxValue="100"/>
    </cacheField>
    <cacheField name="Revenue" numFmtId="44">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0" endNum="7938" groupInterval="1000"/>
        <groupItems count="10">
          <s v="&lt;0"/>
          <s v="0-1000"/>
          <s v="1000-2000"/>
          <s v="2000-3000"/>
          <s v="3000-4000"/>
          <s v="4000-5000"/>
          <s v="5000-6000"/>
          <s v="6000-7000"/>
          <s v="7000-8000"/>
          <s v="&gt;8000"/>
        </groupItems>
      </fieldGroup>
    </cacheField>
    <cacheField name="Shipping Fee" numFmtId="44">
      <sharedItems containsSemiMixedTypes="0" containsString="0" containsNumber="1" minValue="3.7345000000000002" maxValue="769.98599999999999"/>
    </cacheField>
  </cacheFields>
  <extLst>
    <ext xmlns:x14="http://schemas.microsoft.com/office/spreadsheetml/2009/9/main" uri="{725AE2AE-9491-48be-B2B4-4EB974FC3084}">
      <x14:pivotCacheDefinition pivotCacheId="2086443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s v="Shipping Company B"/>
    <s v="Karen Toh"/>
    <s v="789 27th Street"/>
    <x v="0"/>
    <s v="NV"/>
    <n v="99999"/>
    <s v="USA"/>
    <s v="Check"/>
    <s v="Beer"/>
    <x v="0"/>
    <n v="14"/>
    <n v="49"/>
    <x v="0"/>
    <n v="66.542000000000002"/>
  </r>
  <r>
    <n v="1002"/>
    <x v="0"/>
    <n v="27"/>
    <x v="0"/>
    <s v="789 27th Street"/>
    <x v="0"/>
    <x v="0"/>
    <n v="99999"/>
    <s v="USA"/>
    <x v="0"/>
    <x v="0"/>
    <d v="2014-01-29T00:00:00"/>
    <s v="Shipping Company B"/>
    <s v="Karen Toh"/>
    <s v="789 27th Street"/>
    <x v="0"/>
    <s v="NV"/>
    <n v="99999"/>
    <s v="USA"/>
    <s v="Check"/>
    <s v="Dried Plums"/>
    <x v="1"/>
    <n v="3.5"/>
    <n v="47"/>
    <x v="1"/>
    <n v="16.6145"/>
  </r>
  <r>
    <n v="1003"/>
    <x v="1"/>
    <n v="4"/>
    <x v="1"/>
    <s v="123 4th Street"/>
    <x v="1"/>
    <x v="1"/>
    <n v="99999"/>
    <s v="USA"/>
    <x v="1"/>
    <x v="1"/>
    <d v="2014-01-06T00:00:00"/>
    <s v="Shipping Company A"/>
    <s v="Christina Lee"/>
    <s v="123 4th Street"/>
    <x v="1"/>
    <s v="NY"/>
    <n v="99999"/>
    <s v="USA"/>
    <s v="Credit Card"/>
    <s v="Dried Pears"/>
    <x v="1"/>
    <n v="30"/>
    <n v="69"/>
    <x v="2"/>
    <n v="198.72"/>
  </r>
  <r>
    <n v="1004"/>
    <x v="1"/>
    <n v="4"/>
    <x v="1"/>
    <s v="123 4th Street"/>
    <x v="1"/>
    <x v="1"/>
    <n v="99999"/>
    <s v="USA"/>
    <x v="1"/>
    <x v="1"/>
    <d v="2014-01-06T00:00:00"/>
    <s v="Shipping Company A"/>
    <s v="Christina Lee"/>
    <s v="123 4th Street"/>
    <x v="1"/>
    <s v="NY"/>
    <n v="99999"/>
    <s v="USA"/>
    <s v="Credit Card"/>
    <s v="Dried Apples"/>
    <x v="1"/>
    <n v="53"/>
    <n v="89"/>
    <x v="3"/>
    <n v="448.11500000000001"/>
  </r>
  <r>
    <n v="1005"/>
    <x v="1"/>
    <n v="4"/>
    <x v="1"/>
    <s v="123 4th Street"/>
    <x v="1"/>
    <x v="1"/>
    <n v="99999"/>
    <s v="USA"/>
    <x v="1"/>
    <x v="1"/>
    <d v="2014-01-06T00:00:00"/>
    <s v="Shipping Company A"/>
    <s v="Christina Lee"/>
    <s v="123 4th Street"/>
    <x v="1"/>
    <s v="NY"/>
    <n v="99999"/>
    <s v="USA"/>
    <s v="Credit Card"/>
    <s v="Dried Plums"/>
    <x v="1"/>
    <n v="3.5"/>
    <n v="11"/>
    <x v="4"/>
    <n v="3.7345000000000002"/>
  </r>
  <r>
    <n v="1006"/>
    <x v="2"/>
    <n v="12"/>
    <x v="2"/>
    <s v="123 12th Street"/>
    <x v="0"/>
    <x v="0"/>
    <n v="99999"/>
    <s v="USA"/>
    <x v="0"/>
    <x v="0"/>
    <d v="2014-01-14T00:00:00"/>
    <s v="Shipping Company B"/>
    <s v="John Edwards"/>
    <s v="123 12th Street"/>
    <x v="0"/>
    <s v="NV"/>
    <n v="99999"/>
    <s v="USA"/>
    <s v="Credit Card"/>
    <s v="Chai"/>
    <x v="0"/>
    <n v="18"/>
    <n v="81"/>
    <x v="5"/>
    <n v="141.42600000000002"/>
  </r>
  <r>
    <n v="1007"/>
    <x v="2"/>
    <n v="12"/>
    <x v="2"/>
    <s v="123 12th Street"/>
    <x v="0"/>
    <x v="0"/>
    <n v="99999"/>
    <s v="USA"/>
    <x v="0"/>
    <x v="0"/>
    <d v="2014-01-14T00:00:00"/>
    <s v="Shipping Company B"/>
    <s v="John Edwards"/>
    <s v="123 12th Street"/>
    <x v="0"/>
    <s v="NV"/>
    <n v="99999"/>
    <s v="USA"/>
    <s v="Credit Card"/>
    <s v="Coffee"/>
    <x v="0"/>
    <n v="46"/>
    <n v="44"/>
    <x v="6"/>
    <n v="198.352"/>
  </r>
  <r>
    <n v="1008"/>
    <x v="3"/>
    <n v="8"/>
    <x v="3"/>
    <s v="123 8th Street"/>
    <x v="2"/>
    <x v="2"/>
    <n v="99999"/>
    <s v="USA"/>
    <x v="2"/>
    <x v="2"/>
    <d v="2014-01-10T00:00:00"/>
    <s v="Shipping Company C"/>
    <s v="Elizabeth Andersen"/>
    <s v="123 8th Street"/>
    <x v="2"/>
    <s v="OR"/>
    <n v="99999"/>
    <s v="USA"/>
    <s v="Credit Card"/>
    <s v="Chocolate Biscuits Mix"/>
    <x v="2"/>
    <n v="9.1999999999999993"/>
    <n v="38"/>
    <x v="7"/>
    <n v="36.008800000000001"/>
  </r>
  <r>
    <n v="1009"/>
    <x v="1"/>
    <n v="4"/>
    <x v="1"/>
    <s v="123 4th Street"/>
    <x v="1"/>
    <x v="1"/>
    <n v="99999"/>
    <s v="USA"/>
    <x v="1"/>
    <x v="1"/>
    <d v="2014-01-06T00:00:00"/>
    <s v="Shipping Company C"/>
    <s v="Christina Lee"/>
    <s v="123 4th Street"/>
    <x v="1"/>
    <s v="NY"/>
    <n v="99999"/>
    <s v="USA"/>
    <s v="Check"/>
    <s v="Chocolate Biscuits Mix"/>
    <x v="2"/>
    <n v="9.1999999999999993"/>
    <n v="88"/>
    <x v="8"/>
    <n v="79.340799999999987"/>
  </r>
  <r>
    <n v="1010"/>
    <x v="4"/>
    <n v="29"/>
    <x v="4"/>
    <s v="789 29th Street"/>
    <x v="3"/>
    <x v="3"/>
    <n v="99999"/>
    <s v="USA"/>
    <x v="3"/>
    <x v="0"/>
    <d v="2014-01-31T00:00:00"/>
    <s v="Shipping Company B"/>
    <s v="Soo Jung Lee"/>
    <s v="789 29th Street"/>
    <x v="3"/>
    <s v="CO"/>
    <n v="99999"/>
    <s v="USA"/>
    <s v="Check"/>
    <s v="Chocolate"/>
    <x v="3"/>
    <n v="12.75"/>
    <n v="94"/>
    <x v="9"/>
    <n v="122.24700000000001"/>
  </r>
  <r>
    <n v="1011"/>
    <x v="5"/>
    <n v="3"/>
    <x v="5"/>
    <s v="123 3rd Street"/>
    <x v="4"/>
    <x v="4"/>
    <n v="99999"/>
    <s v="USA"/>
    <x v="0"/>
    <x v="0"/>
    <d v="2014-01-05T00:00:00"/>
    <s v="Shipping Company B"/>
    <s v="Thomas Axerr"/>
    <s v="123 3rd Street"/>
    <x v="4"/>
    <s v="CA"/>
    <n v="99999"/>
    <s v="USA"/>
    <s v="Cash"/>
    <s v="Clam Chowder"/>
    <x v="4"/>
    <n v="9.65"/>
    <n v="91"/>
    <x v="10"/>
    <n v="92.205749999999995"/>
  </r>
  <r>
    <n v="1012"/>
    <x v="6"/>
    <n v="6"/>
    <x v="6"/>
    <s v="123 6th Street"/>
    <x v="5"/>
    <x v="5"/>
    <n v="99999"/>
    <s v="USA"/>
    <x v="4"/>
    <x v="2"/>
    <d v="2014-01-08T00:00:00"/>
    <s v="Shipping Company B"/>
    <s v="Francisco Pérez-Olaeta"/>
    <s v="123 6th Street"/>
    <x v="5"/>
    <s v="WI"/>
    <n v="99999"/>
    <s v="USA"/>
    <s v="Credit Card"/>
    <s v="Curry Sauce"/>
    <x v="5"/>
    <n v="40"/>
    <n v="32"/>
    <x v="11"/>
    <n v="133.12"/>
  </r>
  <r>
    <n v="1013"/>
    <x v="7"/>
    <n v="28"/>
    <x v="7"/>
    <s v="789 28th Street"/>
    <x v="6"/>
    <x v="6"/>
    <n v="99999"/>
    <s v="USA"/>
    <x v="5"/>
    <x v="3"/>
    <d v="2014-01-30T00:00:00"/>
    <s v="Shipping Company C"/>
    <s v="Amritansh Raghav"/>
    <s v="789 28th Street"/>
    <x v="6"/>
    <s v="TN"/>
    <n v="99999"/>
    <s v="USA"/>
    <s v="Check"/>
    <s v="Coffee"/>
    <x v="0"/>
    <n v="46"/>
    <n v="55"/>
    <x v="12"/>
    <n v="253"/>
  </r>
  <r>
    <n v="1014"/>
    <x v="3"/>
    <n v="8"/>
    <x v="3"/>
    <s v="123 8th Street"/>
    <x v="2"/>
    <x v="2"/>
    <n v="99999"/>
    <s v="USA"/>
    <x v="2"/>
    <x v="2"/>
    <d v="2014-01-10T00:00:00"/>
    <s v="Shipping Company C"/>
    <s v="Elizabeth Andersen"/>
    <s v="123 8th Street"/>
    <x v="2"/>
    <s v="OR"/>
    <n v="99999"/>
    <s v="USA"/>
    <s v="Check"/>
    <s v="Chocolate"/>
    <x v="3"/>
    <n v="12.75"/>
    <n v="47"/>
    <x v="13"/>
    <n v="61.722750000000005"/>
  </r>
  <r>
    <n v="1015"/>
    <x v="8"/>
    <n v="10"/>
    <x v="8"/>
    <s v="123 10th Street"/>
    <x v="7"/>
    <x v="7"/>
    <n v="99999"/>
    <s v="USA"/>
    <x v="6"/>
    <x v="1"/>
    <d v="2014-01-12T00:00:00"/>
    <s v="Shipping Company B"/>
    <s v="Roland Wacker"/>
    <s v="123 10th Street"/>
    <x v="7"/>
    <s v="IL"/>
    <n v="99999"/>
    <s v="USA"/>
    <s v="Credit Card"/>
    <s v="Green Tea"/>
    <x v="0"/>
    <n v="2.99"/>
    <n v="90"/>
    <x v="14"/>
    <n v="27.717300000000005"/>
  </r>
  <r>
    <n v="1016"/>
    <x v="9"/>
    <n v="7"/>
    <x v="9"/>
    <s v="123 7th Street"/>
    <x v="8"/>
    <x v="8"/>
    <n v="99999"/>
    <s v="USA"/>
    <x v="2"/>
    <x v="2"/>
    <m/>
    <m/>
    <s v="Ming-Yang Xie"/>
    <s v="123 7th Street"/>
    <x v="8"/>
    <s v="ID"/>
    <n v="99999"/>
    <s v="USA"/>
    <m/>
    <s v="Coffee"/>
    <x v="0"/>
    <n v="46"/>
    <n v="24"/>
    <x v="15"/>
    <n v="110.4"/>
  </r>
  <r>
    <n v="1017"/>
    <x v="8"/>
    <n v="10"/>
    <x v="8"/>
    <s v="123 10th Street"/>
    <x v="7"/>
    <x v="7"/>
    <n v="99999"/>
    <s v="USA"/>
    <x v="6"/>
    <x v="1"/>
    <d v="2014-01-12T00:00:00"/>
    <s v="Shipping Company A"/>
    <s v="Roland Wacker"/>
    <s v="123 10th Street"/>
    <x v="7"/>
    <s v="IL"/>
    <n v="99999"/>
    <s v="USA"/>
    <m/>
    <s v="Boysenberry Spread"/>
    <x v="6"/>
    <n v="25"/>
    <n v="34"/>
    <x v="16"/>
    <n v="80.75"/>
  </r>
  <r>
    <n v="1018"/>
    <x v="8"/>
    <n v="10"/>
    <x v="8"/>
    <s v="123 10th Street"/>
    <x v="7"/>
    <x v="7"/>
    <n v="99999"/>
    <s v="USA"/>
    <x v="6"/>
    <x v="1"/>
    <d v="2014-01-12T00:00:00"/>
    <s v="Shipping Company A"/>
    <s v="Roland Wacker"/>
    <s v="123 10th Street"/>
    <x v="7"/>
    <s v="IL"/>
    <n v="99999"/>
    <s v="USA"/>
    <m/>
    <s v="Cajun Seasoning"/>
    <x v="7"/>
    <n v="22"/>
    <n v="17"/>
    <x v="17"/>
    <n v="35.903999999999996"/>
  </r>
  <r>
    <n v="1019"/>
    <x v="8"/>
    <n v="10"/>
    <x v="8"/>
    <s v="123 10th Street"/>
    <x v="7"/>
    <x v="7"/>
    <n v="99999"/>
    <s v="USA"/>
    <x v="6"/>
    <x v="1"/>
    <d v="2014-01-12T00:00:00"/>
    <s v="Shipping Company A"/>
    <s v="Roland Wacker"/>
    <s v="123 10th Street"/>
    <x v="7"/>
    <s v="IL"/>
    <n v="99999"/>
    <s v="USA"/>
    <m/>
    <s v="Chocolate Biscuits Mix"/>
    <x v="2"/>
    <n v="9.1999999999999993"/>
    <n v="44"/>
    <x v="18"/>
    <n v="42.099199999999996"/>
  </r>
  <r>
    <n v="1020"/>
    <x v="10"/>
    <n v="11"/>
    <x v="10"/>
    <s v="123 11th Street"/>
    <x v="9"/>
    <x v="9"/>
    <n v="99999"/>
    <s v="USA"/>
    <x v="5"/>
    <x v="3"/>
    <m/>
    <s v="Shipping Company C"/>
    <s v="Peter Krschne"/>
    <s v="123 11th Street"/>
    <x v="9"/>
    <s v="FL"/>
    <n v="99999"/>
    <s v="USA"/>
    <m/>
    <s v="Dried Plums"/>
    <x v="1"/>
    <n v="3.5"/>
    <n v="81"/>
    <x v="19"/>
    <n v="27.499500000000001"/>
  </r>
  <r>
    <n v="1021"/>
    <x v="10"/>
    <n v="11"/>
    <x v="10"/>
    <s v="123 11th Street"/>
    <x v="9"/>
    <x v="9"/>
    <n v="99999"/>
    <s v="USA"/>
    <x v="5"/>
    <x v="3"/>
    <m/>
    <s v="Shipping Company C"/>
    <s v="Peter Krschne"/>
    <s v="123 11th Street"/>
    <x v="9"/>
    <s v="FL"/>
    <n v="99999"/>
    <s v="USA"/>
    <m/>
    <s v="Green Tea"/>
    <x v="0"/>
    <n v="2.99"/>
    <n v="49"/>
    <x v="20"/>
    <n v="15.090530000000005"/>
  </r>
  <r>
    <n v="1022"/>
    <x v="11"/>
    <n v="1"/>
    <x v="11"/>
    <s v="123 1st Street"/>
    <x v="10"/>
    <x v="10"/>
    <n v="99999"/>
    <s v="USA"/>
    <x v="2"/>
    <x v="2"/>
    <m/>
    <m/>
    <s v="Anna Bedecs"/>
    <s v="123 1st Street"/>
    <x v="10"/>
    <s v="WA"/>
    <n v="99999"/>
    <s v="USA"/>
    <m/>
    <s v="Chai"/>
    <x v="0"/>
    <n v="18"/>
    <n v="42"/>
    <x v="21"/>
    <n v="75.600000000000009"/>
  </r>
  <r>
    <n v="1023"/>
    <x v="11"/>
    <n v="1"/>
    <x v="11"/>
    <s v="123 1st Street"/>
    <x v="10"/>
    <x v="10"/>
    <n v="99999"/>
    <s v="USA"/>
    <x v="2"/>
    <x v="2"/>
    <m/>
    <m/>
    <s v="Anna Bedecs"/>
    <s v="123 1st Street"/>
    <x v="10"/>
    <s v="WA"/>
    <n v="99999"/>
    <s v="USA"/>
    <m/>
    <s v="Coffee"/>
    <x v="0"/>
    <n v="46"/>
    <n v="58"/>
    <x v="22"/>
    <n v="269.46800000000002"/>
  </r>
  <r>
    <n v="1024"/>
    <x v="11"/>
    <n v="1"/>
    <x v="11"/>
    <s v="123 1st Street"/>
    <x v="10"/>
    <x v="10"/>
    <n v="99999"/>
    <s v="USA"/>
    <x v="2"/>
    <x v="2"/>
    <m/>
    <m/>
    <s v="Anna Bedecs"/>
    <s v="123 1st Street"/>
    <x v="10"/>
    <s v="WA"/>
    <n v="99999"/>
    <s v="USA"/>
    <m/>
    <s v="Green Tea"/>
    <x v="0"/>
    <n v="2.99"/>
    <n v="67"/>
    <x v="23"/>
    <n v="20.033000000000001"/>
  </r>
  <r>
    <n v="1025"/>
    <x v="7"/>
    <n v="28"/>
    <x v="7"/>
    <s v="789 28th Street"/>
    <x v="6"/>
    <x v="6"/>
    <n v="99999"/>
    <s v="USA"/>
    <x v="5"/>
    <x v="3"/>
    <d v="2014-01-30T00:00:00"/>
    <s v="Shipping Company C"/>
    <s v="Amritansh Raghav"/>
    <s v="789 28th Street"/>
    <x v="6"/>
    <s v="TN"/>
    <n v="99999"/>
    <s v="USA"/>
    <s v="Credit Card"/>
    <s v="Clam Chowder"/>
    <x v="4"/>
    <n v="9.65"/>
    <n v="100"/>
    <x v="24"/>
    <n v="93.605000000000004"/>
  </r>
  <r>
    <n v="1026"/>
    <x v="7"/>
    <n v="28"/>
    <x v="7"/>
    <s v="789 28th Street"/>
    <x v="6"/>
    <x v="6"/>
    <n v="99999"/>
    <s v="USA"/>
    <x v="5"/>
    <x v="3"/>
    <d v="2014-01-30T00:00:00"/>
    <s v="Shipping Company C"/>
    <s v="Amritansh Raghav"/>
    <s v="789 28th Street"/>
    <x v="6"/>
    <s v="TN"/>
    <n v="99999"/>
    <s v="USA"/>
    <s v="Credit Card"/>
    <s v="Crab Meat"/>
    <x v="8"/>
    <n v="18.399999999999999"/>
    <n v="63"/>
    <x v="25"/>
    <n v="114.76079999999999"/>
  </r>
  <r>
    <n v="1027"/>
    <x v="12"/>
    <n v="9"/>
    <x v="12"/>
    <s v="123 9th Street"/>
    <x v="11"/>
    <x v="11"/>
    <n v="99999"/>
    <s v="USA"/>
    <x v="7"/>
    <x v="0"/>
    <d v="2014-01-11T00:00:00"/>
    <s v="Shipping Company A"/>
    <s v="Sven Mortensen"/>
    <s v="123 9th Street"/>
    <x v="11"/>
    <s v="UT"/>
    <n v="99999"/>
    <s v="USA"/>
    <s v="Check"/>
    <s v="Ravioli"/>
    <x v="9"/>
    <n v="19.5"/>
    <n v="57"/>
    <x v="26"/>
    <n v="110.0385"/>
  </r>
  <r>
    <n v="1028"/>
    <x v="12"/>
    <n v="9"/>
    <x v="12"/>
    <s v="123 9th Street"/>
    <x v="11"/>
    <x v="11"/>
    <n v="99999"/>
    <s v="USA"/>
    <x v="7"/>
    <x v="0"/>
    <d v="2014-01-11T00:00:00"/>
    <s v="Shipping Company A"/>
    <s v="Sven Mortensen"/>
    <s v="123 9th Street"/>
    <x v="11"/>
    <s v="UT"/>
    <n v="99999"/>
    <s v="USA"/>
    <s v="Check"/>
    <s v="Mozzarella"/>
    <x v="10"/>
    <n v="34.799999999999997"/>
    <n v="81"/>
    <x v="27"/>
    <n v="295.97399999999999"/>
  </r>
  <r>
    <n v="1029"/>
    <x v="6"/>
    <n v="6"/>
    <x v="6"/>
    <s v="123 6th Street"/>
    <x v="5"/>
    <x v="5"/>
    <n v="99999"/>
    <s v="USA"/>
    <x v="4"/>
    <x v="2"/>
    <d v="2014-01-08T00:00:00"/>
    <s v="Shipping Company B"/>
    <s v="Francisco Pérez-Olaeta"/>
    <s v="123 6th Street"/>
    <x v="5"/>
    <s v="WI"/>
    <n v="99999"/>
    <s v="USA"/>
    <s v="Credit Card"/>
    <s v="Beer"/>
    <x v="0"/>
    <n v="14"/>
    <n v="71"/>
    <x v="28"/>
    <n v="95.424000000000007"/>
  </r>
  <r>
    <n v="1030"/>
    <x v="13"/>
    <n v="8"/>
    <x v="3"/>
    <s v="123 8th Street"/>
    <x v="2"/>
    <x v="2"/>
    <n v="99999"/>
    <s v="USA"/>
    <x v="2"/>
    <x v="2"/>
    <d v="2014-02-10T00:00:00"/>
    <s v="Shipping Company B"/>
    <s v="Elizabeth Andersen"/>
    <s v="123 8th Street"/>
    <x v="2"/>
    <s v="OR"/>
    <n v="99999"/>
    <s v="USA"/>
    <s v="Check"/>
    <s v="Curry Sauce"/>
    <x v="5"/>
    <n v="40"/>
    <n v="32"/>
    <x v="11"/>
    <n v="129.28"/>
  </r>
  <r>
    <n v="1031"/>
    <x v="14"/>
    <n v="3"/>
    <x v="5"/>
    <s v="123 3rd Street"/>
    <x v="4"/>
    <x v="4"/>
    <n v="99999"/>
    <s v="USA"/>
    <x v="0"/>
    <x v="0"/>
    <d v="2014-02-05T00:00:00"/>
    <s v="Shipping Company B"/>
    <s v="Thomas Axerr"/>
    <s v="123 3rd Street"/>
    <x v="4"/>
    <s v="CA"/>
    <n v="99999"/>
    <s v="USA"/>
    <s v="Cash"/>
    <s v="Syrup"/>
    <x v="7"/>
    <n v="10"/>
    <n v="63"/>
    <x v="29"/>
    <n v="65.52"/>
  </r>
  <r>
    <n v="1032"/>
    <x v="14"/>
    <n v="3"/>
    <x v="5"/>
    <s v="123 3rd Street"/>
    <x v="4"/>
    <x v="4"/>
    <n v="99999"/>
    <s v="USA"/>
    <x v="0"/>
    <x v="0"/>
    <d v="2014-02-05T00:00:00"/>
    <s v="Shipping Company B"/>
    <s v="Thomas Axerr"/>
    <s v="123 3rd Street"/>
    <x v="4"/>
    <s v="CA"/>
    <n v="99999"/>
    <s v="USA"/>
    <s v="Cash"/>
    <s v="Curry Sauce"/>
    <x v="5"/>
    <n v="40"/>
    <n v="30"/>
    <x v="30"/>
    <n v="120"/>
  </r>
  <r>
    <n v="1033"/>
    <x v="15"/>
    <n v="6"/>
    <x v="6"/>
    <s v="123 6th Street"/>
    <x v="5"/>
    <x v="5"/>
    <n v="99999"/>
    <s v="USA"/>
    <x v="4"/>
    <x v="2"/>
    <d v="2014-02-08T00:00:00"/>
    <s v="Shipping Company B"/>
    <s v="Francisco Pérez-Olaeta"/>
    <s v="123 6th Street"/>
    <x v="5"/>
    <s v="WI"/>
    <n v="99999"/>
    <s v="USA"/>
    <s v="Credit Card"/>
    <m/>
    <x v="11"/>
    <m/>
    <m/>
    <x v="31"/>
    <n v="43"/>
  </r>
  <r>
    <n v="1034"/>
    <x v="16"/>
    <n v="28"/>
    <x v="7"/>
    <s v="789 28th Street"/>
    <x v="6"/>
    <x v="6"/>
    <n v="99999"/>
    <s v="USA"/>
    <x v="5"/>
    <x v="3"/>
    <d v="2014-03-02T00:00:00"/>
    <s v="Shipping Company C"/>
    <s v="Amritansh Raghav"/>
    <s v="789 28th Street"/>
    <x v="6"/>
    <s v="TN"/>
    <n v="99999"/>
    <s v="USA"/>
    <s v="Check"/>
    <m/>
    <x v="11"/>
    <m/>
    <m/>
    <x v="31"/>
    <n v="31"/>
  </r>
  <r>
    <n v="1035"/>
    <x v="13"/>
    <n v="8"/>
    <x v="3"/>
    <s v="123 8th Street"/>
    <x v="2"/>
    <x v="2"/>
    <n v="99999"/>
    <s v="USA"/>
    <x v="2"/>
    <x v="2"/>
    <d v="2014-02-10T00:00:00"/>
    <s v="Shipping Company C"/>
    <s v="Elizabeth Andersen"/>
    <s v="123 8th Street"/>
    <x v="2"/>
    <s v="OR"/>
    <n v="99999"/>
    <s v="USA"/>
    <s v="Check"/>
    <m/>
    <x v="11"/>
    <m/>
    <m/>
    <x v="31"/>
    <n v="46"/>
  </r>
  <r>
    <n v="1036"/>
    <x v="17"/>
    <n v="10"/>
    <x v="8"/>
    <s v="123 10th Street"/>
    <x v="7"/>
    <x v="7"/>
    <n v="99999"/>
    <s v="USA"/>
    <x v="6"/>
    <x v="1"/>
    <d v="2014-02-12T00:00:00"/>
    <s v="Shipping Company B"/>
    <s v="Roland Wacker"/>
    <s v="123 10th Street"/>
    <x v="7"/>
    <s v="IL"/>
    <n v="99999"/>
    <s v="USA"/>
    <s v="Credit Card"/>
    <s v="Almonds"/>
    <x v="1"/>
    <n v="10"/>
    <n v="47"/>
    <x v="32"/>
    <n v="48.88"/>
  </r>
  <r>
    <n v="1038"/>
    <x v="17"/>
    <n v="10"/>
    <x v="8"/>
    <s v="123 10th Street"/>
    <x v="7"/>
    <x v="7"/>
    <n v="99999"/>
    <s v="USA"/>
    <x v="6"/>
    <x v="1"/>
    <m/>
    <s v="Shipping Company A"/>
    <s v="Roland Wacker"/>
    <s v="123 10th Street"/>
    <x v="7"/>
    <s v="IL"/>
    <n v="99999"/>
    <s v="USA"/>
    <m/>
    <s v="Dried Plums"/>
    <x v="1"/>
    <n v="3.5"/>
    <n v="49"/>
    <x v="33"/>
    <n v="16.464000000000002"/>
  </r>
  <r>
    <n v="1039"/>
    <x v="18"/>
    <n v="11"/>
    <x v="10"/>
    <s v="123 11th Street"/>
    <x v="9"/>
    <x v="9"/>
    <n v="99999"/>
    <s v="USA"/>
    <x v="5"/>
    <x v="3"/>
    <m/>
    <s v="Shipping Company C"/>
    <s v="Peter Krschne"/>
    <s v="123 11th Street"/>
    <x v="9"/>
    <s v="FL"/>
    <n v="99999"/>
    <s v="USA"/>
    <m/>
    <s v="Curry Sauce"/>
    <x v="5"/>
    <n v="40"/>
    <n v="72"/>
    <x v="34"/>
    <n v="285.12"/>
  </r>
  <r>
    <n v="1040"/>
    <x v="19"/>
    <n v="1"/>
    <x v="11"/>
    <s v="123 1st Street"/>
    <x v="10"/>
    <x v="10"/>
    <n v="99999"/>
    <s v="USA"/>
    <x v="2"/>
    <x v="2"/>
    <m/>
    <s v="Shipping Company C"/>
    <s v="Anna Bedecs"/>
    <s v="123 1st Street"/>
    <x v="10"/>
    <s v="WA"/>
    <n v="99999"/>
    <s v="USA"/>
    <m/>
    <s v="Crab Meat"/>
    <x v="8"/>
    <n v="18.399999999999999"/>
    <n v="13"/>
    <x v="35"/>
    <n v="23.680800000000001"/>
  </r>
  <r>
    <n v="1041"/>
    <x v="16"/>
    <n v="28"/>
    <x v="7"/>
    <s v="789 28th Street"/>
    <x v="6"/>
    <x v="6"/>
    <n v="99999"/>
    <s v="USA"/>
    <x v="5"/>
    <x v="3"/>
    <n v="41700"/>
    <s v="Shipping Company C"/>
    <s v="Amritansh Raghav"/>
    <s v="789 28th Street"/>
    <x v="6"/>
    <s v="TN"/>
    <n v="99999"/>
    <s v="USA"/>
    <s v="Credit Card"/>
    <s v="Coffee"/>
    <x v="0"/>
    <n v="46"/>
    <n v="32"/>
    <x v="36"/>
    <n v="148.67200000000003"/>
  </r>
  <r>
    <n v="1042"/>
    <x v="20"/>
    <n v="9"/>
    <x v="12"/>
    <s v="123 9th Street"/>
    <x v="11"/>
    <x v="11"/>
    <n v="99999"/>
    <s v="USA"/>
    <x v="7"/>
    <x v="0"/>
    <d v="2014-02-11T00:00:00"/>
    <s v="Shipping Company A"/>
    <s v="Sven Mortensen"/>
    <s v="123 9th Street"/>
    <x v="11"/>
    <s v="UT"/>
    <n v="99999"/>
    <s v="USA"/>
    <s v="Check"/>
    <s v="Clam Chowder"/>
    <x v="4"/>
    <n v="9.65"/>
    <n v="27"/>
    <x v="37"/>
    <n v="24.752250000000004"/>
  </r>
  <r>
    <n v="1043"/>
    <x v="15"/>
    <n v="6"/>
    <x v="6"/>
    <s v="123 6th Street"/>
    <x v="5"/>
    <x v="5"/>
    <n v="99999"/>
    <s v="USA"/>
    <x v="4"/>
    <x v="2"/>
    <d v="2014-02-08T00:00:00"/>
    <s v="Shipping Company B"/>
    <s v="Francisco Pérez-Olaeta"/>
    <s v="123 6th Street"/>
    <x v="5"/>
    <s v="WI"/>
    <n v="99999"/>
    <s v="USA"/>
    <s v="Credit Card"/>
    <s v="Chocolate"/>
    <x v="3"/>
    <n v="12.75"/>
    <n v="71"/>
    <x v="38"/>
    <n v="91.430250000000001"/>
  </r>
  <r>
    <n v="1044"/>
    <x v="13"/>
    <n v="8"/>
    <x v="3"/>
    <s v="123 8th Street"/>
    <x v="2"/>
    <x v="2"/>
    <n v="99999"/>
    <s v="USA"/>
    <x v="2"/>
    <x v="2"/>
    <d v="2014-02-10T00:00:00"/>
    <s v="Shipping Company B"/>
    <s v="Elizabeth Andersen"/>
    <s v="123 8th Street"/>
    <x v="2"/>
    <s v="OR"/>
    <n v="99999"/>
    <s v="USA"/>
    <s v="Check"/>
    <s v="Chocolate"/>
    <x v="3"/>
    <n v="12.75"/>
    <n v="13"/>
    <x v="39"/>
    <n v="15.746249999999998"/>
  </r>
  <r>
    <n v="1045"/>
    <x v="21"/>
    <n v="25"/>
    <x v="13"/>
    <s v="789 25th Street"/>
    <x v="7"/>
    <x v="7"/>
    <n v="99999"/>
    <s v="USA"/>
    <x v="6"/>
    <x v="1"/>
    <d v="2014-02-27T00:00:00"/>
    <s v="Shipping Company A"/>
    <s v="John Rodman"/>
    <s v="789 25th Street"/>
    <x v="7"/>
    <s v="IL"/>
    <n v="99999"/>
    <s v="USA"/>
    <s v="Cash"/>
    <s v="Cajun Seasoning"/>
    <x v="7"/>
    <n v="22"/>
    <n v="98"/>
    <x v="40"/>
    <n v="204.82000000000002"/>
  </r>
  <r>
    <n v="1046"/>
    <x v="22"/>
    <n v="26"/>
    <x v="14"/>
    <s v="789 26th Street"/>
    <x v="9"/>
    <x v="9"/>
    <n v="99999"/>
    <s v="USA"/>
    <x v="5"/>
    <x v="3"/>
    <d v="2014-02-28T00:00:00"/>
    <s v="Shipping Company C"/>
    <s v="Run Liu"/>
    <s v="789 26th Street"/>
    <x v="9"/>
    <s v="FL"/>
    <n v="99999"/>
    <s v="USA"/>
    <s v="Credit Card"/>
    <s v="Boysenberry Spread"/>
    <x v="6"/>
    <n v="25"/>
    <n v="21"/>
    <x v="41"/>
    <n v="53.550000000000004"/>
  </r>
  <r>
    <n v="1047"/>
    <x v="23"/>
    <n v="29"/>
    <x v="4"/>
    <s v="789 29th Street"/>
    <x v="3"/>
    <x v="3"/>
    <n v="99999"/>
    <s v="USA"/>
    <x v="3"/>
    <x v="0"/>
    <d v="2014-03-03T00:00:00"/>
    <s v="Shipping Company B"/>
    <s v="Soo Jung Lee"/>
    <s v="789 29th Street"/>
    <x v="3"/>
    <s v="CO"/>
    <n v="99999"/>
    <s v="USA"/>
    <s v="Check"/>
    <s v="Fruit Cocktail"/>
    <x v="12"/>
    <n v="39"/>
    <n v="26"/>
    <x v="42"/>
    <n v="106.47000000000001"/>
  </r>
  <r>
    <n v="1048"/>
    <x v="15"/>
    <n v="6"/>
    <x v="6"/>
    <s v="123 6th Street"/>
    <x v="5"/>
    <x v="5"/>
    <n v="99999"/>
    <s v="USA"/>
    <x v="4"/>
    <x v="2"/>
    <d v="2014-02-08T00:00:00"/>
    <s v="Shipping Company C"/>
    <s v="Francisco Pérez-Olaeta"/>
    <s v="123 6th Street"/>
    <x v="5"/>
    <s v="WI"/>
    <n v="99999"/>
    <s v="USA"/>
    <s v="Check"/>
    <s v="Dried Pears"/>
    <x v="1"/>
    <n v="30"/>
    <n v="96"/>
    <x v="34"/>
    <n v="296.64"/>
  </r>
  <r>
    <n v="1049"/>
    <x v="15"/>
    <n v="6"/>
    <x v="6"/>
    <s v="123 6th Street"/>
    <x v="5"/>
    <x v="5"/>
    <n v="99999"/>
    <s v="USA"/>
    <x v="4"/>
    <x v="2"/>
    <d v="2014-02-08T00:00:00"/>
    <s v="Shipping Company C"/>
    <s v="Francisco Pérez-Olaeta"/>
    <s v="123 6th Street"/>
    <x v="5"/>
    <s v="WI"/>
    <n v="99999"/>
    <s v="USA"/>
    <s v="Check"/>
    <s v="Dried Apples"/>
    <x v="1"/>
    <n v="53"/>
    <n v="16"/>
    <x v="43"/>
    <n v="88.192000000000021"/>
  </r>
  <r>
    <n v="1050"/>
    <x v="24"/>
    <n v="4"/>
    <x v="1"/>
    <s v="123 4th Street"/>
    <x v="1"/>
    <x v="1"/>
    <n v="99999"/>
    <s v="USA"/>
    <x v="1"/>
    <x v="1"/>
    <m/>
    <m/>
    <s v="Christina Lee"/>
    <s v="123 4th Street"/>
    <x v="1"/>
    <s v="NY"/>
    <n v="99999"/>
    <s v="USA"/>
    <m/>
    <s v="Gnocchi"/>
    <x v="9"/>
    <n v="38"/>
    <n v="96"/>
    <x v="44"/>
    <n v="346.56"/>
  </r>
  <r>
    <n v="1051"/>
    <x v="14"/>
    <n v="3"/>
    <x v="5"/>
    <s v="123 3rd Street"/>
    <x v="4"/>
    <x v="4"/>
    <n v="99999"/>
    <s v="USA"/>
    <x v="0"/>
    <x v="0"/>
    <m/>
    <m/>
    <s v="Thomas Axerr"/>
    <s v="123 3rd Street"/>
    <x v="4"/>
    <s v="CA"/>
    <n v="99999"/>
    <s v="USA"/>
    <m/>
    <s v="Green Tea"/>
    <x v="0"/>
    <n v="2.99"/>
    <n v="75"/>
    <x v="45"/>
    <n v="23.097750000000005"/>
  </r>
  <r>
    <n v="1052"/>
    <x v="25"/>
    <n v="9"/>
    <x v="12"/>
    <s v="123 9th Street"/>
    <x v="11"/>
    <x v="11"/>
    <n v="99999"/>
    <s v="USA"/>
    <x v="7"/>
    <x v="0"/>
    <n v="41709"/>
    <s v="Shipping Company A"/>
    <s v="Sven Mortensen"/>
    <s v="123 9th Street"/>
    <x v="11"/>
    <s v="UT"/>
    <n v="99999"/>
    <s v="USA"/>
    <s v="Check"/>
    <s v="Ravioli"/>
    <x v="9"/>
    <n v="19.5"/>
    <n v="55"/>
    <x v="46"/>
    <n v="108.32250000000001"/>
  </r>
  <r>
    <n v="1053"/>
    <x v="25"/>
    <n v="9"/>
    <x v="12"/>
    <s v="123 9th Street"/>
    <x v="11"/>
    <x v="11"/>
    <n v="99999"/>
    <s v="USA"/>
    <x v="7"/>
    <x v="0"/>
    <d v="2014-03-11T00:00:00"/>
    <s v="Shipping Company A"/>
    <s v="Sven Mortensen"/>
    <s v="123 9th Street"/>
    <x v="11"/>
    <s v="UT"/>
    <n v="99999"/>
    <s v="USA"/>
    <s v="Check"/>
    <s v="Mozzarella"/>
    <x v="10"/>
    <n v="34.799999999999997"/>
    <n v="11"/>
    <x v="47"/>
    <n v="36.748799999999996"/>
  </r>
  <r>
    <n v="1054"/>
    <x v="26"/>
    <n v="6"/>
    <x v="6"/>
    <s v="123 6th Street"/>
    <x v="5"/>
    <x v="5"/>
    <n v="99999"/>
    <s v="USA"/>
    <x v="4"/>
    <x v="2"/>
    <d v="2014-03-08T00:00:00"/>
    <s v="Shipping Company B"/>
    <s v="Francisco Pérez-Olaeta"/>
    <s v="123 6th Street"/>
    <x v="5"/>
    <s v="WI"/>
    <n v="99999"/>
    <s v="USA"/>
    <s v="Credit Card"/>
    <s v="Beer"/>
    <x v="0"/>
    <n v="14"/>
    <n v="53"/>
    <x v="48"/>
    <n v="71.974000000000004"/>
  </r>
  <r>
    <n v="1055"/>
    <x v="27"/>
    <n v="8"/>
    <x v="3"/>
    <s v="123 8th Street"/>
    <x v="2"/>
    <x v="2"/>
    <n v="99999"/>
    <s v="USA"/>
    <x v="2"/>
    <x v="2"/>
    <d v="2014-03-10T00:00:00"/>
    <s v="Shipping Company B"/>
    <s v="Elizabeth Andersen"/>
    <s v="123 8th Street"/>
    <x v="2"/>
    <s v="OR"/>
    <n v="99999"/>
    <s v="USA"/>
    <s v="Check"/>
    <s v="Curry Sauce"/>
    <x v="5"/>
    <n v="40"/>
    <n v="85"/>
    <x v="49"/>
    <n v="357"/>
  </r>
  <r>
    <n v="1056"/>
    <x v="27"/>
    <n v="8"/>
    <x v="3"/>
    <s v="123 8th Street"/>
    <x v="2"/>
    <x v="2"/>
    <n v="99999"/>
    <s v="USA"/>
    <x v="2"/>
    <x v="2"/>
    <d v="2014-03-10T00:00:00"/>
    <s v="Shipping Company B"/>
    <s v="Elizabeth Andersen"/>
    <s v="123 8th Street"/>
    <x v="2"/>
    <s v="OR"/>
    <n v="99999"/>
    <s v="USA"/>
    <s v="Check"/>
    <s v="Chocolate Biscuits Mix"/>
    <x v="2"/>
    <n v="9.1999999999999993"/>
    <n v="97"/>
    <x v="50"/>
    <n v="91.024800000000013"/>
  </r>
  <r>
    <n v="1057"/>
    <x v="28"/>
    <n v="25"/>
    <x v="13"/>
    <s v="789 25th Street"/>
    <x v="7"/>
    <x v="7"/>
    <n v="99999"/>
    <s v="USA"/>
    <x v="6"/>
    <x v="1"/>
    <d v="2014-03-27T00:00:00"/>
    <s v="Shipping Company A"/>
    <s v="John Rodman"/>
    <s v="789 25th Street"/>
    <x v="7"/>
    <s v="IL"/>
    <n v="99999"/>
    <s v="USA"/>
    <s v="Cash"/>
    <s v="Scones"/>
    <x v="2"/>
    <n v="10"/>
    <n v="46"/>
    <x v="51"/>
    <n v="46.46"/>
  </r>
  <r>
    <n v="1058"/>
    <x v="29"/>
    <n v="26"/>
    <x v="14"/>
    <s v="789 26th Street"/>
    <x v="9"/>
    <x v="9"/>
    <n v="99999"/>
    <s v="USA"/>
    <x v="5"/>
    <x v="3"/>
    <d v="2014-03-28T00:00:00"/>
    <s v="Shipping Company C"/>
    <s v="Run Liu"/>
    <s v="789 26th Street"/>
    <x v="9"/>
    <s v="FL"/>
    <n v="99999"/>
    <s v="USA"/>
    <s v="Credit Card"/>
    <s v="Olive Oil"/>
    <x v="13"/>
    <n v="21.35"/>
    <n v="97"/>
    <x v="52"/>
    <n v="196.74025"/>
  </r>
  <r>
    <n v="1059"/>
    <x v="29"/>
    <n v="26"/>
    <x v="14"/>
    <s v="789 26th Street"/>
    <x v="9"/>
    <x v="9"/>
    <n v="99999"/>
    <s v="USA"/>
    <x v="5"/>
    <x v="3"/>
    <d v="2014-03-28T00:00:00"/>
    <s v="Shipping Company C"/>
    <s v="Run Liu"/>
    <s v="789 26th Street"/>
    <x v="9"/>
    <s v="FL"/>
    <n v="99999"/>
    <s v="USA"/>
    <s v="Credit Card"/>
    <s v="Clam Chowder"/>
    <x v="4"/>
    <n v="9.65"/>
    <n v="97"/>
    <x v="53"/>
    <n v="95.477100000000021"/>
  </r>
  <r>
    <n v="1060"/>
    <x v="29"/>
    <n v="26"/>
    <x v="14"/>
    <s v="789 26th Street"/>
    <x v="9"/>
    <x v="9"/>
    <n v="99999"/>
    <s v="USA"/>
    <x v="5"/>
    <x v="3"/>
    <d v="2014-03-28T00:00:00"/>
    <s v="Shipping Company C"/>
    <s v="Run Liu"/>
    <s v="789 26th Street"/>
    <x v="9"/>
    <s v="FL"/>
    <n v="99999"/>
    <s v="USA"/>
    <s v="Credit Card"/>
    <s v="Crab Meat"/>
    <x v="8"/>
    <n v="18.399999999999999"/>
    <n v="65"/>
    <x v="54"/>
    <n v="123.18800000000002"/>
  </r>
  <r>
    <n v="1061"/>
    <x v="30"/>
    <n v="29"/>
    <x v="4"/>
    <s v="789 29th Street"/>
    <x v="3"/>
    <x v="3"/>
    <n v="99999"/>
    <s v="USA"/>
    <x v="3"/>
    <x v="0"/>
    <d v="2014-03-31T00:00:00"/>
    <s v="Shipping Company B"/>
    <s v="Soo Jung Lee"/>
    <s v="789 29th Street"/>
    <x v="3"/>
    <s v="CO"/>
    <n v="99999"/>
    <s v="USA"/>
    <s v="Check"/>
    <s v="Beer"/>
    <x v="0"/>
    <n v="14"/>
    <n v="72"/>
    <x v="55"/>
    <n v="100.80000000000001"/>
  </r>
  <r>
    <n v="1062"/>
    <x v="26"/>
    <n v="6"/>
    <x v="6"/>
    <s v="123 6th Street"/>
    <x v="5"/>
    <x v="5"/>
    <n v="99999"/>
    <s v="USA"/>
    <x v="4"/>
    <x v="2"/>
    <d v="2014-03-08T00:00:00"/>
    <s v="Shipping Company C"/>
    <s v="Francisco Pérez-Olaeta"/>
    <s v="123 6th Street"/>
    <x v="5"/>
    <s v="WI"/>
    <n v="99999"/>
    <s v="USA"/>
    <s v="Check"/>
    <s v="Chocolate"/>
    <x v="3"/>
    <n v="12.75"/>
    <n v="16"/>
    <x v="56"/>
    <n v="20.196000000000002"/>
  </r>
  <r>
    <n v="1064"/>
    <x v="31"/>
    <n v="4"/>
    <x v="1"/>
    <s v="123 4th Street"/>
    <x v="1"/>
    <x v="1"/>
    <n v="99999"/>
    <s v="USA"/>
    <x v="1"/>
    <x v="1"/>
    <d v="2014-03-06T00:00:00"/>
    <s v="Shipping Company A"/>
    <s v="Christina Lee"/>
    <s v="123 4th Street"/>
    <x v="1"/>
    <s v="NY"/>
    <n v="99999"/>
    <s v="USA"/>
    <s v="Credit Card"/>
    <s v="Marmalade"/>
    <x v="6"/>
    <n v="81"/>
    <n v="77"/>
    <x v="57"/>
    <n v="642.41100000000006"/>
  </r>
  <r>
    <n v="1065"/>
    <x v="31"/>
    <n v="4"/>
    <x v="1"/>
    <s v="123 4th Street"/>
    <x v="1"/>
    <x v="1"/>
    <n v="99999"/>
    <s v="USA"/>
    <x v="1"/>
    <x v="1"/>
    <d v="2014-03-06T00:00:00"/>
    <s v="Shipping Company A"/>
    <s v="Christina Lee"/>
    <s v="123 4th Street"/>
    <x v="1"/>
    <s v="NY"/>
    <n v="99999"/>
    <s v="USA"/>
    <s v="Credit Card"/>
    <s v="Long Grain Rice"/>
    <x v="14"/>
    <n v="7"/>
    <n v="37"/>
    <x v="58"/>
    <n v="24.605"/>
  </r>
  <r>
    <n v="1067"/>
    <x v="27"/>
    <n v="8"/>
    <x v="3"/>
    <s v="123 8th Street"/>
    <x v="2"/>
    <x v="2"/>
    <n v="99999"/>
    <s v="USA"/>
    <x v="2"/>
    <x v="2"/>
    <d v="2014-03-10T00:00:00"/>
    <s v="Shipping Company C"/>
    <s v="Elizabeth Andersen"/>
    <s v="123 8th Street"/>
    <x v="2"/>
    <s v="OR"/>
    <n v="99999"/>
    <s v="USA"/>
    <s v="Credit Card"/>
    <s v="Mozzarella"/>
    <x v="10"/>
    <n v="34.799999999999997"/>
    <n v="63"/>
    <x v="59"/>
    <n v="217.04759999999999"/>
  </r>
  <r>
    <n v="1070"/>
    <x v="32"/>
    <n v="3"/>
    <x v="5"/>
    <s v="123 3rd Street"/>
    <x v="4"/>
    <x v="4"/>
    <n v="99999"/>
    <s v="USA"/>
    <x v="0"/>
    <x v="0"/>
    <d v="2014-03-05T00:00:00"/>
    <s v="Shipping Company B"/>
    <s v="Thomas Axerr"/>
    <s v="123 3rd Street"/>
    <x v="4"/>
    <s v="CA"/>
    <n v="99999"/>
    <s v="USA"/>
    <s v="Cash"/>
    <s v="Syrup"/>
    <x v="7"/>
    <n v="10"/>
    <n v="48"/>
    <x v="60"/>
    <n v="48"/>
  </r>
  <r>
    <n v="1071"/>
    <x v="32"/>
    <n v="3"/>
    <x v="5"/>
    <s v="123 3rd Street"/>
    <x v="4"/>
    <x v="4"/>
    <n v="99999"/>
    <s v="USA"/>
    <x v="0"/>
    <x v="0"/>
    <d v="2014-03-05T00:00:00"/>
    <s v="Shipping Company B"/>
    <s v="Thomas Axerr"/>
    <s v="123 3rd Street"/>
    <x v="4"/>
    <s v="CA"/>
    <n v="99999"/>
    <s v="USA"/>
    <s v="Cash"/>
    <s v="Curry Sauce"/>
    <x v="5"/>
    <n v="40"/>
    <n v="71"/>
    <x v="61"/>
    <n v="295.36"/>
  </r>
  <r>
    <n v="1075"/>
    <x v="33"/>
    <n v="10"/>
    <x v="8"/>
    <s v="123 10th Street"/>
    <x v="7"/>
    <x v="7"/>
    <n v="99999"/>
    <s v="USA"/>
    <x v="6"/>
    <x v="1"/>
    <d v="2014-03-12T00:00:00"/>
    <s v="Shipping Company B"/>
    <s v="Roland Wacker"/>
    <s v="123 10th Street"/>
    <x v="7"/>
    <s v="IL"/>
    <n v="99999"/>
    <s v="USA"/>
    <s v="Credit Card"/>
    <s v="Almonds"/>
    <x v="1"/>
    <n v="10"/>
    <n v="55"/>
    <x v="62"/>
    <n v="55"/>
  </r>
  <r>
    <n v="1077"/>
    <x v="33"/>
    <n v="10"/>
    <x v="8"/>
    <s v="123 10th Street"/>
    <x v="7"/>
    <x v="7"/>
    <n v="99999"/>
    <s v="USA"/>
    <x v="6"/>
    <x v="1"/>
    <m/>
    <s v="Shipping Company A"/>
    <s v="Roland Wacker"/>
    <s v="123 10th Street"/>
    <x v="7"/>
    <s v="IL"/>
    <n v="99999"/>
    <s v="USA"/>
    <m/>
    <s v="Dried Plums"/>
    <x v="1"/>
    <n v="3.5"/>
    <n v="21"/>
    <x v="63"/>
    <n v="7.3500000000000005"/>
  </r>
  <r>
    <n v="1078"/>
    <x v="34"/>
    <n v="11"/>
    <x v="10"/>
    <s v="123 11th Street"/>
    <x v="9"/>
    <x v="9"/>
    <n v="99999"/>
    <s v="USA"/>
    <x v="5"/>
    <x v="3"/>
    <m/>
    <s v="Shipping Company C"/>
    <s v="Peter Krschne"/>
    <s v="123 11th Street"/>
    <x v="9"/>
    <s v="FL"/>
    <n v="99999"/>
    <s v="USA"/>
    <m/>
    <s v="Curry Sauce"/>
    <x v="5"/>
    <n v="40"/>
    <n v="67"/>
    <x v="64"/>
    <n v="270.68"/>
  </r>
  <r>
    <n v="1079"/>
    <x v="23"/>
    <n v="1"/>
    <x v="11"/>
    <s v="123 1st Street"/>
    <x v="10"/>
    <x v="10"/>
    <n v="99999"/>
    <s v="USA"/>
    <x v="2"/>
    <x v="2"/>
    <m/>
    <s v="Shipping Company C"/>
    <s v="Anna Bedecs"/>
    <s v="123 1st Street"/>
    <x v="10"/>
    <s v="WA"/>
    <n v="99999"/>
    <s v="USA"/>
    <m/>
    <s v="Crab Meat"/>
    <x v="8"/>
    <n v="18.399999999999999"/>
    <n v="75"/>
    <x v="65"/>
    <n v="138"/>
  </r>
  <r>
    <n v="1080"/>
    <x v="35"/>
    <n v="28"/>
    <x v="7"/>
    <s v="789 28th Street"/>
    <x v="6"/>
    <x v="6"/>
    <n v="99999"/>
    <s v="USA"/>
    <x v="5"/>
    <x v="3"/>
    <d v="2014-03-30T00:00:00"/>
    <s v="Shipping Company C"/>
    <s v="Amritansh Raghav"/>
    <s v="789 28th Street"/>
    <x v="6"/>
    <s v="TN"/>
    <n v="99999"/>
    <s v="USA"/>
    <s v="Credit Card"/>
    <s v="Coffee"/>
    <x v="0"/>
    <n v="46"/>
    <n v="17"/>
    <x v="66"/>
    <n v="80.546000000000006"/>
  </r>
  <r>
    <n v="1081"/>
    <x v="36"/>
    <n v="4"/>
    <x v="1"/>
    <s v="123 4th Street"/>
    <x v="1"/>
    <x v="1"/>
    <n v="99999"/>
    <s v="USA"/>
    <x v="1"/>
    <x v="1"/>
    <d v="2014-04-06T00:00:00"/>
    <s v="Shipping Company A"/>
    <s v="Christina Lee"/>
    <s v="123 4th Street"/>
    <x v="1"/>
    <s v="NY"/>
    <n v="99999"/>
    <s v="USA"/>
    <s v="Credit Card"/>
    <s v="Dried Plums"/>
    <x v="1"/>
    <n v="3.5"/>
    <n v="48"/>
    <x v="67"/>
    <n v="16.295999999999999"/>
  </r>
  <r>
    <n v="1082"/>
    <x v="37"/>
    <n v="12"/>
    <x v="2"/>
    <s v="123 12th Street"/>
    <x v="0"/>
    <x v="0"/>
    <n v="99999"/>
    <s v="USA"/>
    <x v="0"/>
    <x v="0"/>
    <d v="2014-04-14T00:00:00"/>
    <s v="Shipping Company B"/>
    <s v="John Edwards"/>
    <s v="123 12th Street"/>
    <x v="0"/>
    <s v="NV"/>
    <n v="99999"/>
    <s v="USA"/>
    <s v="Credit Card"/>
    <s v="Chai"/>
    <x v="0"/>
    <n v="18"/>
    <n v="74"/>
    <x v="68"/>
    <n v="137.19600000000003"/>
  </r>
  <r>
    <n v="1083"/>
    <x v="37"/>
    <n v="12"/>
    <x v="2"/>
    <s v="123 12th Street"/>
    <x v="0"/>
    <x v="0"/>
    <n v="99999"/>
    <s v="USA"/>
    <x v="0"/>
    <x v="0"/>
    <d v="2014-04-14T00:00:00"/>
    <s v="Shipping Company B"/>
    <s v="John Edwards"/>
    <s v="123 12th Street"/>
    <x v="0"/>
    <s v="NV"/>
    <n v="99999"/>
    <s v="USA"/>
    <s v="Credit Card"/>
    <s v="Coffee"/>
    <x v="0"/>
    <n v="46"/>
    <n v="96"/>
    <x v="69"/>
    <n v="428.35200000000003"/>
  </r>
  <r>
    <n v="1084"/>
    <x v="38"/>
    <n v="8"/>
    <x v="3"/>
    <s v="123 8th Street"/>
    <x v="2"/>
    <x v="2"/>
    <n v="99999"/>
    <s v="USA"/>
    <x v="2"/>
    <x v="2"/>
    <d v="2014-04-10T00:00:00"/>
    <s v="Shipping Company C"/>
    <s v="Elizabeth Andersen"/>
    <s v="123 8th Street"/>
    <x v="2"/>
    <s v="OR"/>
    <n v="99999"/>
    <s v="USA"/>
    <s v="Credit Card"/>
    <s v="Chocolate Biscuits Mix"/>
    <x v="2"/>
    <n v="9.1999999999999993"/>
    <n v="12"/>
    <x v="70"/>
    <n v="11.3712"/>
  </r>
  <r>
    <n v="1085"/>
    <x v="36"/>
    <n v="4"/>
    <x v="1"/>
    <s v="123 4th Street"/>
    <x v="1"/>
    <x v="1"/>
    <n v="99999"/>
    <s v="USA"/>
    <x v="1"/>
    <x v="1"/>
    <n v="41735"/>
    <s v="Shipping Company C"/>
    <s v="Christina Lee"/>
    <s v="123 4th Street"/>
    <x v="1"/>
    <s v="NY"/>
    <n v="99999"/>
    <s v="USA"/>
    <s v="Check"/>
    <s v="Chocolate Biscuits Mix"/>
    <x v="2"/>
    <n v="9.1999999999999993"/>
    <n v="62"/>
    <x v="71"/>
    <n v="58.751199999999997"/>
  </r>
  <r>
    <n v="1086"/>
    <x v="39"/>
    <n v="29"/>
    <x v="4"/>
    <s v="789 29th Street"/>
    <x v="3"/>
    <x v="3"/>
    <n v="99999"/>
    <s v="USA"/>
    <x v="3"/>
    <x v="0"/>
    <n v="41760"/>
    <s v="Shipping Company B"/>
    <s v="Soo Jung Lee"/>
    <s v="789 29th Street"/>
    <x v="3"/>
    <s v="CO"/>
    <n v="99999"/>
    <s v="USA"/>
    <s v="Check"/>
    <s v="Chocolate"/>
    <x v="3"/>
    <n v="12.75"/>
    <n v="35"/>
    <x v="72"/>
    <n v="45.963750000000005"/>
  </r>
  <r>
    <n v="1087"/>
    <x v="40"/>
    <n v="3"/>
    <x v="5"/>
    <s v="123 3rd Street"/>
    <x v="4"/>
    <x v="4"/>
    <n v="99999"/>
    <s v="USA"/>
    <x v="0"/>
    <x v="0"/>
    <n v="41734"/>
    <s v="Shipping Company B"/>
    <s v="Thomas Axerr"/>
    <s v="123 3rd Street"/>
    <x v="4"/>
    <s v="CA"/>
    <n v="99999"/>
    <s v="USA"/>
    <s v="Cash"/>
    <s v="Clam Chowder"/>
    <x v="4"/>
    <n v="9.65"/>
    <n v="95"/>
    <x v="73"/>
    <n v="91.675000000000011"/>
  </r>
  <r>
    <n v="1088"/>
    <x v="41"/>
    <n v="6"/>
    <x v="6"/>
    <s v="123 6th Street"/>
    <x v="5"/>
    <x v="5"/>
    <n v="99999"/>
    <s v="USA"/>
    <x v="4"/>
    <x v="2"/>
    <n v="41737"/>
    <s v="Shipping Company B"/>
    <s v="Francisco Pérez-Olaeta"/>
    <s v="123 6th Street"/>
    <x v="5"/>
    <s v="WI"/>
    <n v="99999"/>
    <s v="USA"/>
    <s v="Credit Card"/>
    <s v="Curry Sauce"/>
    <x v="5"/>
    <n v="40"/>
    <n v="17"/>
    <x v="74"/>
    <n v="68.680000000000007"/>
  </r>
  <r>
    <n v="1089"/>
    <x v="42"/>
    <n v="28"/>
    <x v="7"/>
    <s v="789 28th Street"/>
    <x v="6"/>
    <x v="6"/>
    <n v="99999"/>
    <s v="USA"/>
    <x v="5"/>
    <x v="3"/>
    <d v="2014-04-30T00:00:00"/>
    <s v="Shipping Company C"/>
    <s v="Amritansh Raghav"/>
    <s v="789 28th Street"/>
    <x v="6"/>
    <s v="TN"/>
    <n v="99999"/>
    <s v="USA"/>
    <s v="Check"/>
    <s v="Coffee"/>
    <x v="0"/>
    <n v="46"/>
    <n v="96"/>
    <x v="69"/>
    <n v="463.68000000000006"/>
  </r>
  <r>
    <n v="1090"/>
    <x v="38"/>
    <n v="8"/>
    <x v="3"/>
    <s v="123 8th Street"/>
    <x v="2"/>
    <x v="2"/>
    <n v="99999"/>
    <s v="USA"/>
    <x v="2"/>
    <x v="2"/>
    <d v="2014-04-10T00:00:00"/>
    <s v="Shipping Company C"/>
    <s v="Elizabeth Andersen"/>
    <s v="123 8th Street"/>
    <x v="2"/>
    <s v="OR"/>
    <n v="99999"/>
    <s v="USA"/>
    <s v="Check"/>
    <s v="Chocolate"/>
    <x v="3"/>
    <n v="12.75"/>
    <n v="83"/>
    <x v="75"/>
    <n v="102.65025"/>
  </r>
  <r>
    <n v="1091"/>
    <x v="43"/>
    <n v="10"/>
    <x v="8"/>
    <s v="123 10th Street"/>
    <x v="7"/>
    <x v="7"/>
    <n v="99999"/>
    <s v="USA"/>
    <x v="6"/>
    <x v="1"/>
    <d v="2014-04-12T00:00:00"/>
    <s v="Shipping Company B"/>
    <s v="Roland Wacker"/>
    <s v="123 10th Street"/>
    <x v="7"/>
    <s v="IL"/>
    <n v="99999"/>
    <s v="USA"/>
    <s v="Credit Card"/>
    <s v="Green Tea"/>
    <x v="0"/>
    <n v="2.99"/>
    <n v="88"/>
    <x v="76"/>
    <n v="26.04888"/>
  </r>
  <r>
    <n v="1092"/>
    <x v="44"/>
    <n v="7"/>
    <x v="9"/>
    <s v="123 7th Street"/>
    <x v="8"/>
    <x v="8"/>
    <n v="99999"/>
    <s v="USA"/>
    <x v="2"/>
    <x v="2"/>
    <m/>
    <m/>
    <s v="Ming-Yang Xie"/>
    <s v="123 7th Street"/>
    <x v="8"/>
    <s v="ID"/>
    <n v="99999"/>
    <s v="USA"/>
    <m/>
    <s v="Coffee"/>
    <x v="0"/>
    <n v="46"/>
    <n v="59"/>
    <x v="77"/>
    <n v="284.97000000000003"/>
  </r>
  <r>
    <n v="1093"/>
    <x v="43"/>
    <n v="10"/>
    <x v="8"/>
    <s v="123 10th Street"/>
    <x v="7"/>
    <x v="7"/>
    <n v="99999"/>
    <s v="USA"/>
    <x v="6"/>
    <x v="1"/>
    <d v="2014-04-12T00:00:00"/>
    <s v="Shipping Company A"/>
    <s v="Roland Wacker"/>
    <s v="123 10th Street"/>
    <x v="7"/>
    <s v="IL"/>
    <n v="99999"/>
    <s v="USA"/>
    <m/>
    <s v="Boysenberry Spread"/>
    <x v="6"/>
    <n v="25"/>
    <n v="27"/>
    <x v="78"/>
    <n v="68.849999999999994"/>
  </r>
  <r>
    <n v="1094"/>
    <x v="43"/>
    <n v="10"/>
    <x v="8"/>
    <s v="123 10th Street"/>
    <x v="7"/>
    <x v="7"/>
    <n v="99999"/>
    <s v="USA"/>
    <x v="6"/>
    <x v="1"/>
    <d v="2014-04-12T00:00:00"/>
    <s v="Shipping Company A"/>
    <s v="Roland Wacker"/>
    <s v="123 10th Street"/>
    <x v="7"/>
    <s v="IL"/>
    <n v="99999"/>
    <s v="USA"/>
    <m/>
    <s v="Cajun Seasoning"/>
    <x v="7"/>
    <n v="22"/>
    <n v="37"/>
    <x v="79"/>
    <n v="85.470000000000013"/>
  </r>
  <r>
    <n v="1095"/>
    <x v="43"/>
    <n v="10"/>
    <x v="8"/>
    <s v="123 10th Street"/>
    <x v="7"/>
    <x v="7"/>
    <n v="99999"/>
    <s v="USA"/>
    <x v="6"/>
    <x v="1"/>
    <d v="2014-04-12T00:00:00"/>
    <s v="Shipping Company A"/>
    <s v="Roland Wacker"/>
    <s v="123 10th Street"/>
    <x v="7"/>
    <s v="IL"/>
    <n v="99999"/>
    <s v="USA"/>
    <m/>
    <s v="Chocolate Biscuits Mix"/>
    <x v="2"/>
    <n v="9.1999999999999993"/>
    <n v="75"/>
    <x v="80"/>
    <n v="69"/>
  </r>
  <r>
    <n v="1096"/>
    <x v="45"/>
    <n v="11"/>
    <x v="10"/>
    <s v="123 11th Street"/>
    <x v="9"/>
    <x v="9"/>
    <n v="99999"/>
    <s v="USA"/>
    <x v="5"/>
    <x v="3"/>
    <m/>
    <s v="Shipping Company C"/>
    <s v="Peter Krschne"/>
    <s v="123 11th Street"/>
    <x v="9"/>
    <s v="FL"/>
    <n v="99999"/>
    <s v="USA"/>
    <m/>
    <s v="Dried Plums"/>
    <x v="1"/>
    <n v="3.5"/>
    <n v="71"/>
    <x v="81"/>
    <n v="24.104500000000002"/>
  </r>
  <r>
    <n v="1097"/>
    <x v="45"/>
    <n v="11"/>
    <x v="10"/>
    <s v="123 11th Street"/>
    <x v="9"/>
    <x v="9"/>
    <n v="99999"/>
    <s v="USA"/>
    <x v="5"/>
    <x v="3"/>
    <m/>
    <s v="Shipping Company C"/>
    <s v="Peter Krschne"/>
    <s v="123 11th Street"/>
    <x v="9"/>
    <s v="FL"/>
    <n v="99999"/>
    <s v="USA"/>
    <m/>
    <s v="Green Tea"/>
    <x v="0"/>
    <n v="2.99"/>
    <n v="88"/>
    <x v="76"/>
    <n v="26.04888"/>
  </r>
  <r>
    <n v="1098"/>
    <x v="46"/>
    <n v="1"/>
    <x v="11"/>
    <s v="123 1st Street"/>
    <x v="10"/>
    <x v="10"/>
    <n v="99999"/>
    <s v="USA"/>
    <x v="2"/>
    <x v="2"/>
    <m/>
    <m/>
    <s v="Anna Bedecs"/>
    <s v="123 1st Street"/>
    <x v="10"/>
    <s v="WA"/>
    <n v="99999"/>
    <s v="USA"/>
    <m/>
    <s v="Chai"/>
    <x v="0"/>
    <n v="18"/>
    <n v="55"/>
    <x v="82"/>
    <n v="97.02"/>
  </r>
  <r>
    <n v="1099"/>
    <x v="47"/>
    <n v="29"/>
    <x v="4"/>
    <s v="789 29th Street"/>
    <x v="3"/>
    <x v="3"/>
    <n v="99999"/>
    <s v="USA"/>
    <x v="3"/>
    <x v="0"/>
    <d v="2014-05-31T00:00:00"/>
    <s v="Shipping Company B"/>
    <s v="Soo Jung Lee"/>
    <s v="789 29th Street"/>
    <x v="3"/>
    <s v="CO"/>
    <n v="99999"/>
    <s v="USA"/>
    <s v="Check"/>
    <s v="Chocolate"/>
    <x v="3"/>
    <n v="12.75"/>
    <n v="14"/>
    <x v="83"/>
    <n v="16.9575"/>
  </r>
  <r>
    <n v="1100"/>
    <x v="48"/>
    <n v="3"/>
    <x v="5"/>
    <s v="123 3rd Street"/>
    <x v="4"/>
    <x v="4"/>
    <n v="99999"/>
    <s v="USA"/>
    <x v="0"/>
    <x v="0"/>
    <d v="2014-05-05T00:00:00"/>
    <s v="Shipping Company B"/>
    <s v="Thomas Axerr"/>
    <s v="123 3rd Street"/>
    <x v="4"/>
    <s v="CA"/>
    <n v="99999"/>
    <s v="USA"/>
    <s v="Cash"/>
    <s v="Clam Chowder"/>
    <x v="4"/>
    <n v="9.65"/>
    <n v="43"/>
    <x v="84"/>
    <n v="42.324900000000007"/>
  </r>
  <r>
    <n v="1101"/>
    <x v="49"/>
    <n v="6"/>
    <x v="6"/>
    <s v="123 6th Street"/>
    <x v="5"/>
    <x v="5"/>
    <n v="99999"/>
    <s v="USA"/>
    <x v="4"/>
    <x v="2"/>
    <n v="41767"/>
    <s v="Shipping Company B"/>
    <s v="Francisco Pérez-Olaeta"/>
    <s v="123 6th Street"/>
    <x v="5"/>
    <s v="WI"/>
    <n v="99999"/>
    <s v="USA"/>
    <s v="Credit Card"/>
    <s v="Curry Sauce"/>
    <x v="5"/>
    <n v="40"/>
    <n v="63"/>
    <x v="85"/>
    <n v="254.52"/>
  </r>
  <r>
    <n v="1102"/>
    <x v="50"/>
    <n v="28"/>
    <x v="7"/>
    <s v="789 28th Street"/>
    <x v="6"/>
    <x v="6"/>
    <n v="99999"/>
    <s v="USA"/>
    <x v="5"/>
    <x v="3"/>
    <d v="2014-05-30T00:00:00"/>
    <s v="Shipping Company C"/>
    <s v="Amritansh Raghav"/>
    <s v="789 28th Street"/>
    <x v="6"/>
    <s v="TN"/>
    <n v="99999"/>
    <s v="USA"/>
    <s v="Check"/>
    <s v="Coffee"/>
    <x v="0"/>
    <n v="46"/>
    <n v="36"/>
    <x v="86"/>
    <n v="165.60000000000002"/>
  </r>
  <r>
    <n v="1103"/>
    <x v="51"/>
    <n v="8"/>
    <x v="3"/>
    <s v="123 8th Street"/>
    <x v="2"/>
    <x v="2"/>
    <n v="99999"/>
    <s v="USA"/>
    <x v="2"/>
    <x v="2"/>
    <d v="2014-05-10T00:00:00"/>
    <s v="Shipping Company C"/>
    <s v="Elizabeth Andersen"/>
    <s v="123 8th Street"/>
    <x v="2"/>
    <s v="OR"/>
    <n v="99999"/>
    <s v="USA"/>
    <s v="Check"/>
    <s v="Chocolate"/>
    <x v="3"/>
    <n v="12.75"/>
    <n v="41"/>
    <x v="87"/>
    <n v="54.366000000000007"/>
  </r>
  <r>
    <n v="1104"/>
    <x v="52"/>
    <n v="10"/>
    <x v="8"/>
    <s v="123 10th Street"/>
    <x v="7"/>
    <x v="7"/>
    <n v="99999"/>
    <s v="USA"/>
    <x v="6"/>
    <x v="1"/>
    <d v="2014-05-12T00:00:00"/>
    <s v="Shipping Company B"/>
    <s v="Roland Wacker"/>
    <s v="123 10th Street"/>
    <x v="7"/>
    <s v="IL"/>
    <n v="99999"/>
    <s v="USA"/>
    <s v="Credit Card"/>
    <s v="Green Tea"/>
    <x v="0"/>
    <n v="2.99"/>
    <n v="35"/>
    <x v="88"/>
    <n v="10.255700000000001"/>
  </r>
  <r>
    <n v="1105"/>
    <x v="53"/>
    <n v="7"/>
    <x v="9"/>
    <s v="123 7th Street"/>
    <x v="8"/>
    <x v="8"/>
    <n v="99999"/>
    <s v="USA"/>
    <x v="2"/>
    <x v="2"/>
    <m/>
    <m/>
    <s v="Ming-Yang Xie"/>
    <s v="123 7th Street"/>
    <x v="8"/>
    <s v="ID"/>
    <n v="99999"/>
    <s v="USA"/>
    <m/>
    <s v="Coffee"/>
    <x v="0"/>
    <n v="46"/>
    <n v="31"/>
    <x v="89"/>
    <n v="136.89599999999999"/>
  </r>
  <r>
    <n v="1106"/>
    <x v="52"/>
    <n v="10"/>
    <x v="8"/>
    <s v="123 10th Street"/>
    <x v="7"/>
    <x v="7"/>
    <n v="99999"/>
    <s v="USA"/>
    <x v="6"/>
    <x v="1"/>
    <n v="41771"/>
    <s v="Shipping Company A"/>
    <s v="Roland Wacker"/>
    <s v="123 10th Street"/>
    <x v="7"/>
    <s v="IL"/>
    <n v="99999"/>
    <s v="USA"/>
    <m/>
    <s v="Boysenberry Spread"/>
    <x v="6"/>
    <n v="25"/>
    <n v="52"/>
    <x v="90"/>
    <n v="123.5"/>
  </r>
  <r>
    <n v="1107"/>
    <x v="52"/>
    <n v="10"/>
    <x v="8"/>
    <s v="123 10th Street"/>
    <x v="7"/>
    <x v="7"/>
    <n v="99999"/>
    <s v="USA"/>
    <x v="6"/>
    <x v="1"/>
    <n v="41771"/>
    <s v="Shipping Company A"/>
    <s v="Roland Wacker"/>
    <s v="123 10th Street"/>
    <x v="7"/>
    <s v="IL"/>
    <n v="99999"/>
    <s v="USA"/>
    <m/>
    <s v="Cajun Seasoning"/>
    <x v="7"/>
    <n v="22"/>
    <n v="30"/>
    <x v="91"/>
    <n v="67.320000000000007"/>
  </r>
  <r>
    <n v="1108"/>
    <x v="52"/>
    <n v="10"/>
    <x v="8"/>
    <s v="123 10th Street"/>
    <x v="7"/>
    <x v="7"/>
    <n v="99999"/>
    <s v="USA"/>
    <x v="6"/>
    <x v="1"/>
    <d v="2014-05-12T00:00:00"/>
    <s v="Shipping Company A"/>
    <s v="Roland Wacker"/>
    <s v="123 10th Street"/>
    <x v="7"/>
    <s v="IL"/>
    <n v="99999"/>
    <s v="USA"/>
    <m/>
    <s v="Chocolate Biscuits Mix"/>
    <x v="2"/>
    <n v="9.1999999999999993"/>
    <n v="41"/>
    <x v="92"/>
    <n v="38.474400000000003"/>
  </r>
  <r>
    <n v="1109"/>
    <x v="54"/>
    <n v="11"/>
    <x v="10"/>
    <s v="123 11th Street"/>
    <x v="9"/>
    <x v="9"/>
    <n v="99999"/>
    <s v="USA"/>
    <x v="5"/>
    <x v="3"/>
    <m/>
    <s v="Shipping Company C"/>
    <s v="Peter Krschne"/>
    <s v="123 11th Street"/>
    <x v="9"/>
    <s v="FL"/>
    <n v="99999"/>
    <s v="USA"/>
    <m/>
    <s v="Dried Plums"/>
    <x v="1"/>
    <n v="3.5"/>
    <n v="44"/>
    <x v="93"/>
    <n v="15.246"/>
  </r>
  <r>
    <n v="1110"/>
    <x v="54"/>
    <n v="11"/>
    <x v="10"/>
    <s v="123 11th Street"/>
    <x v="9"/>
    <x v="9"/>
    <n v="99999"/>
    <s v="USA"/>
    <x v="5"/>
    <x v="3"/>
    <m/>
    <s v="Shipping Company C"/>
    <s v="Peter Krschne"/>
    <s v="123 11th Street"/>
    <x v="9"/>
    <s v="FL"/>
    <n v="99999"/>
    <s v="USA"/>
    <m/>
    <s v="Green Tea"/>
    <x v="0"/>
    <n v="2.99"/>
    <n v="77"/>
    <x v="94"/>
    <n v="23.023000000000003"/>
  </r>
  <r>
    <n v="1111"/>
    <x v="55"/>
    <n v="1"/>
    <x v="11"/>
    <s v="123 1st Street"/>
    <x v="10"/>
    <x v="10"/>
    <n v="99999"/>
    <s v="USA"/>
    <x v="2"/>
    <x v="2"/>
    <m/>
    <m/>
    <s v="Anna Bedecs"/>
    <s v="123 1st Street"/>
    <x v="10"/>
    <s v="WA"/>
    <n v="99999"/>
    <s v="USA"/>
    <m/>
    <s v="Chai"/>
    <x v="0"/>
    <n v="18"/>
    <n v="29"/>
    <x v="95"/>
    <n v="52.722000000000001"/>
  </r>
  <r>
    <n v="1112"/>
    <x v="55"/>
    <n v="1"/>
    <x v="11"/>
    <s v="123 1st Street"/>
    <x v="10"/>
    <x v="10"/>
    <n v="99999"/>
    <s v="USA"/>
    <x v="2"/>
    <x v="2"/>
    <m/>
    <m/>
    <s v="Anna Bedecs"/>
    <s v="123 1st Street"/>
    <x v="10"/>
    <s v="WA"/>
    <n v="99999"/>
    <s v="USA"/>
    <m/>
    <s v="Coffee"/>
    <x v="0"/>
    <n v="46"/>
    <n v="77"/>
    <x v="96"/>
    <n v="368.36800000000005"/>
  </r>
  <r>
    <n v="1113"/>
    <x v="55"/>
    <n v="1"/>
    <x v="11"/>
    <s v="123 1st Street"/>
    <x v="10"/>
    <x v="10"/>
    <n v="99999"/>
    <s v="USA"/>
    <x v="2"/>
    <x v="2"/>
    <m/>
    <m/>
    <s v="Anna Bedecs"/>
    <s v="123 1st Street"/>
    <x v="10"/>
    <s v="WA"/>
    <n v="99999"/>
    <s v="USA"/>
    <m/>
    <s v="Green Tea"/>
    <x v="0"/>
    <n v="2.99"/>
    <n v="73"/>
    <x v="97"/>
    <n v="21.827000000000002"/>
  </r>
  <r>
    <n v="1114"/>
    <x v="50"/>
    <n v="28"/>
    <x v="7"/>
    <s v="789 28th Street"/>
    <x v="6"/>
    <x v="6"/>
    <n v="99999"/>
    <s v="USA"/>
    <x v="5"/>
    <x v="3"/>
    <n v="41789"/>
    <s v="Shipping Company C"/>
    <s v="Amritansh Raghav"/>
    <s v="789 28th Street"/>
    <x v="6"/>
    <s v="TN"/>
    <n v="99999"/>
    <s v="USA"/>
    <s v="Credit Card"/>
    <s v="Clam Chowder"/>
    <x v="4"/>
    <n v="9.65"/>
    <n v="74"/>
    <x v="98"/>
    <n v="67.839500000000001"/>
  </r>
  <r>
    <n v="1115"/>
    <x v="50"/>
    <n v="28"/>
    <x v="7"/>
    <s v="789 28th Street"/>
    <x v="6"/>
    <x v="6"/>
    <n v="99999"/>
    <s v="USA"/>
    <x v="5"/>
    <x v="3"/>
    <d v="2014-05-30T00:00:00"/>
    <s v="Shipping Company C"/>
    <s v="Amritansh Raghav"/>
    <s v="789 28th Street"/>
    <x v="6"/>
    <s v="TN"/>
    <n v="99999"/>
    <s v="USA"/>
    <s v="Credit Card"/>
    <s v="Crab Meat"/>
    <x v="8"/>
    <n v="18.399999999999999"/>
    <n v="25"/>
    <x v="99"/>
    <n v="46.46"/>
  </r>
  <r>
    <n v="1116"/>
    <x v="56"/>
    <n v="9"/>
    <x v="12"/>
    <s v="123 9th Street"/>
    <x v="11"/>
    <x v="11"/>
    <n v="99999"/>
    <s v="USA"/>
    <x v="7"/>
    <x v="0"/>
    <d v="2014-05-11T00:00:00"/>
    <s v="Shipping Company A"/>
    <s v="Sven Mortensen"/>
    <s v="123 9th Street"/>
    <x v="11"/>
    <s v="UT"/>
    <n v="99999"/>
    <s v="USA"/>
    <s v="Check"/>
    <s v="Ravioli"/>
    <x v="9"/>
    <n v="19.5"/>
    <n v="82"/>
    <x v="100"/>
    <n v="153.50399999999999"/>
  </r>
  <r>
    <n v="1117"/>
    <x v="56"/>
    <n v="9"/>
    <x v="12"/>
    <s v="123 9th Street"/>
    <x v="11"/>
    <x v="11"/>
    <n v="99999"/>
    <s v="USA"/>
    <x v="7"/>
    <x v="0"/>
    <d v="2014-05-11T00:00:00"/>
    <s v="Shipping Company A"/>
    <s v="Sven Mortensen"/>
    <s v="123 9th Street"/>
    <x v="11"/>
    <s v="UT"/>
    <n v="99999"/>
    <s v="USA"/>
    <s v="Check"/>
    <s v="Mozzarella"/>
    <x v="10"/>
    <n v="34.799999999999997"/>
    <n v="37"/>
    <x v="101"/>
    <n v="132.62279999999998"/>
  </r>
  <r>
    <n v="1118"/>
    <x v="49"/>
    <n v="6"/>
    <x v="6"/>
    <s v="123 6th Street"/>
    <x v="5"/>
    <x v="5"/>
    <n v="99999"/>
    <s v="USA"/>
    <x v="4"/>
    <x v="2"/>
    <n v="41767"/>
    <s v="Shipping Company B"/>
    <s v="Francisco Pérez-Olaeta"/>
    <s v="123 6th Street"/>
    <x v="5"/>
    <s v="WI"/>
    <n v="99999"/>
    <s v="USA"/>
    <s v="Credit Card"/>
    <s v="Beer"/>
    <x v="0"/>
    <n v="14"/>
    <n v="84"/>
    <x v="102"/>
    <n v="112.896"/>
  </r>
  <r>
    <n v="1119"/>
    <x v="51"/>
    <n v="8"/>
    <x v="3"/>
    <s v="123 8th Street"/>
    <x v="2"/>
    <x v="2"/>
    <n v="99999"/>
    <s v="USA"/>
    <x v="2"/>
    <x v="2"/>
    <n v="41769"/>
    <s v="Shipping Company B"/>
    <s v="Elizabeth Andersen"/>
    <s v="123 8th Street"/>
    <x v="2"/>
    <s v="OR"/>
    <n v="99999"/>
    <s v="USA"/>
    <s v="Check"/>
    <s v="Curry Sauce"/>
    <x v="5"/>
    <n v="40"/>
    <n v="73"/>
    <x v="103"/>
    <n v="283.24"/>
  </r>
  <r>
    <n v="1120"/>
    <x v="51"/>
    <n v="8"/>
    <x v="3"/>
    <s v="123 8th Street"/>
    <x v="2"/>
    <x v="2"/>
    <n v="99999"/>
    <s v="USA"/>
    <x v="2"/>
    <x v="2"/>
    <n v="41769"/>
    <s v="Shipping Company B"/>
    <s v="Elizabeth Andersen"/>
    <s v="123 8th Street"/>
    <x v="2"/>
    <s v="OR"/>
    <n v="99999"/>
    <s v="USA"/>
    <s v="Check"/>
    <s v="Chocolate Biscuits Mix"/>
    <x v="2"/>
    <n v="9.1999999999999993"/>
    <n v="51"/>
    <x v="104"/>
    <n v="44.573999999999998"/>
  </r>
  <r>
    <n v="1121"/>
    <x v="57"/>
    <n v="25"/>
    <x v="13"/>
    <s v="789 25th Street"/>
    <x v="7"/>
    <x v="7"/>
    <n v="99999"/>
    <s v="USA"/>
    <x v="6"/>
    <x v="1"/>
    <n v="41786"/>
    <s v="Shipping Company A"/>
    <s v="John Rodman"/>
    <s v="789 25th Street"/>
    <x v="7"/>
    <s v="IL"/>
    <n v="99999"/>
    <s v="USA"/>
    <s v="Cash"/>
    <s v="Scones"/>
    <x v="2"/>
    <n v="10"/>
    <n v="66"/>
    <x v="91"/>
    <n v="68.64"/>
  </r>
  <r>
    <n v="1122"/>
    <x v="58"/>
    <n v="26"/>
    <x v="14"/>
    <s v="789 26th Street"/>
    <x v="9"/>
    <x v="9"/>
    <n v="99999"/>
    <s v="USA"/>
    <x v="5"/>
    <x v="3"/>
    <n v="41787"/>
    <s v="Shipping Company C"/>
    <s v="Run Liu"/>
    <s v="789 26th Street"/>
    <x v="9"/>
    <s v="FL"/>
    <n v="99999"/>
    <s v="USA"/>
    <s v="Credit Card"/>
    <s v="Olive Oil"/>
    <x v="13"/>
    <n v="21.35"/>
    <n v="36"/>
    <x v="105"/>
    <n v="74.554200000000009"/>
  </r>
  <r>
    <n v="1123"/>
    <x v="58"/>
    <n v="26"/>
    <x v="14"/>
    <s v="789 26th Street"/>
    <x v="9"/>
    <x v="9"/>
    <n v="99999"/>
    <s v="USA"/>
    <x v="5"/>
    <x v="3"/>
    <d v="2014-05-28T00:00:00"/>
    <s v="Shipping Company C"/>
    <s v="Run Liu"/>
    <s v="789 26th Street"/>
    <x v="9"/>
    <s v="FL"/>
    <n v="99999"/>
    <s v="USA"/>
    <s v="Credit Card"/>
    <s v="Clam Chowder"/>
    <x v="4"/>
    <n v="9.65"/>
    <n v="87"/>
    <x v="106"/>
    <n v="87.313200000000009"/>
  </r>
  <r>
    <n v="1124"/>
    <x v="58"/>
    <n v="26"/>
    <x v="14"/>
    <s v="789 26th Street"/>
    <x v="9"/>
    <x v="9"/>
    <n v="99999"/>
    <s v="USA"/>
    <x v="5"/>
    <x v="3"/>
    <d v="2014-05-28T00:00:00"/>
    <s v="Shipping Company C"/>
    <s v="Run Liu"/>
    <s v="789 26th Street"/>
    <x v="9"/>
    <s v="FL"/>
    <n v="99999"/>
    <s v="USA"/>
    <s v="Credit Card"/>
    <s v="Crab Meat"/>
    <x v="8"/>
    <n v="18.399999999999999"/>
    <n v="64"/>
    <x v="107"/>
    <n v="115.40479999999999"/>
  </r>
  <r>
    <n v="1125"/>
    <x v="47"/>
    <n v="29"/>
    <x v="4"/>
    <s v="789 29th Street"/>
    <x v="3"/>
    <x v="3"/>
    <n v="99999"/>
    <s v="USA"/>
    <x v="3"/>
    <x v="0"/>
    <d v="2014-05-31T00:00:00"/>
    <s v="Shipping Company B"/>
    <s v="Soo Jung Lee"/>
    <s v="789 29th Street"/>
    <x v="3"/>
    <s v="CO"/>
    <n v="99999"/>
    <s v="USA"/>
    <s v="Check"/>
    <s v="Beer"/>
    <x v="0"/>
    <n v="14"/>
    <n v="21"/>
    <x v="108"/>
    <n v="30.870000000000005"/>
  </r>
  <r>
    <n v="1126"/>
    <x v="49"/>
    <n v="6"/>
    <x v="6"/>
    <s v="123 6th Street"/>
    <x v="5"/>
    <x v="5"/>
    <n v="99999"/>
    <s v="USA"/>
    <x v="4"/>
    <x v="2"/>
    <d v="2014-05-08T00:00:00"/>
    <s v="Shipping Company C"/>
    <s v="Francisco Pérez-Olaeta"/>
    <s v="123 6th Street"/>
    <x v="5"/>
    <s v="WI"/>
    <n v="99999"/>
    <s v="USA"/>
    <s v="Check"/>
    <s v="Chocolate"/>
    <x v="3"/>
    <n v="12.75"/>
    <n v="19"/>
    <x v="109"/>
    <n v="24.46725"/>
  </r>
  <r>
    <n v="1128"/>
    <x v="59"/>
    <n v="4"/>
    <x v="1"/>
    <s v="123 4th Street"/>
    <x v="1"/>
    <x v="1"/>
    <n v="99999"/>
    <s v="USA"/>
    <x v="1"/>
    <x v="1"/>
    <d v="2014-05-06T00:00:00"/>
    <s v="Shipping Company A"/>
    <s v="Christina Lee"/>
    <s v="123 4th Street"/>
    <x v="1"/>
    <s v="NY"/>
    <n v="99999"/>
    <s v="USA"/>
    <s v="Credit Card"/>
    <s v="Marmalade"/>
    <x v="6"/>
    <n v="81"/>
    <n v="23"/>
    <x v="110"/>
    <n v="195.61500000000001"/>
  </r>
  <r>
    <n v="1129"/>
    <x v="59"/>
    <n v="4"/>
    <x v="1"/>
    <s v="123 4th Street"/>
    <x v="1"/>
    <x v="1"/>
    <n v="99999"/>
    <s v="USA"/>
    <x v="1"/>
    <x v="1"/>
    <d v="2014-05-06T00:00:00"/>
    <s v="Shipping Company A"/>
    <s v="Christina Lee"/>
    <s v="123 4th Street"/>
    <x v="1"/>
    <s v="NY"/>
    <n v="99999"/>
    <s v="USA"/>
    <s v="Credit Card"/>
    <s v="Long Grain Rice"/>
    <x v="14"/>
    <n v="7"/>
    <n v="72"/>
    <x v="111"/>
    <n v="51.912000000000006"/>
  </r>
  <r>
    <n v="1131"/>
    <x v="51"/>
    <n v="8"/>
    <x v="3"/>
    <s v="123 8th Street"/>
    <x v="2"/>
    <x v="2"/>
    <n v="99999"/>
    <s v="USA"/>
    <x v="2"/>
    <x v="2"/>
    <d v="2014-05-10T00:00:00"/>
    <s v="Shipping Company C"/>
    <s v="Elizabeth Andersen"/>
    <s v="123 8th Street"/>
    <x v="2"/>
    <s v="OR"/>
    <n v="99999"/>
    <s v="USA"/>
    <s v="Credit Card"/>
    <s v="Mozzarella"/>
    <x v="10"/>
    <n v="34.799999999999997"/>
    <n v="22"/>
    <x v="112"/>
    <n v="75.02879999999999"/>
  </r>
  <r>
    <n v="1134"/>
    <x v="48"/>
    <n v="3"/>
    <x v="5"/>
    <s v="123 3rd Street"/>
    <x v="4"/>
    <x v="4"/>
    <n v="99999"/>
    <s v="USA"/>
    <x v="0"/>
    <x v="0"/>
    <d v="2014-05-05T00:00:00"/>
    <s v="Shipping Company B"/>
    <s v="Thomas Axerr"/>
    <s v="123 3rd Street"/>
    <x v="4"/>
    <s v="CA"/>
    <n v="99999"/>
    <s v="USA"/>
    <s v="Cash"/>
    <s v="Syrup"/>
    <x v="7"/>
    <n v="10"/>
    <n v="82"/>
    <x v="113"/>
    <n v="85.28"/>
  </r>
  <r>
    <n v="1135"/>
    <x v="48"/>
    <n v="3"/>
    <x v="5"/>
    <s v="123 3rd Street"/>
    <x v="4"/>
    <x v="4"/>
    <n v="99999"/>
    <s v="USA"/>
    <x v="0"/>
    <x v="0"/>
    <d v="2014-05-05T00:00:00"/>
    <s v="Shipping Company B"/>
    <s v="Thomas Axerr"/>
    <s v="123 3rd Street"/>
    <x v="4"/>
    <s v="CA"/>
    <n v="99999"/>
    <s v="USA"/>
    <s v="Cash"/>
    <s v="Curry Sauce"/>
    <x v="5"/>
    <n v="40"/>
    <n v="98"/>
    <x v="114"/>
    <n v="411.6"/>
  </r>
  <r>
    <n v="1138"/>
    <x v="60"/>
    <n v="7"/>
    <x v="9"/>
    <s v="123 7th Street"/>
    <x v="8"/>
    <x v="8"/>
    <n v="99999"/>
    <s v="USA"/>
    <x v="2"/>
    <x v="2"/>
    <m/>
    <m/>
    <s v="Ming-Yang Xie"/>
    <s v="123 7th Street"/>
    <x v="8"/>
    <s v="ID"/>
    <n v="99999"/>
    <s v="USA"/>
    <m/>
    <s v="Coffee"/>
    <x v="0"/>
    <n v="46"/>
    <n v="71"/>
    <x v="115"/>
    <n v="310.27"/>
  </r>
  <r>
    <n v="1139"/>
    <x v="61"/>
    <n v="10"/>
    <x v="8"/>
    <s v="123 10th Street"/>
    <x v="7"/>
    <x v="7"/>
    <n v="99999"/>
    <s v="USA"/>
    <x v="6"/>
    <x v="1"/>
    <d v="2014-06-12T00:00:00"/>
    <s v="Shipping Company A"/>
    <s v="Roland Wacker"/>
    <s v="123 10th Street"/>
    <x v="7"/>
    <s v="IL"/>
    <n v="99999"/>
    <s v="USA"/>
    <m/>
    <s v="Boysenberry Spread"/>
    <x v="6"/>
    <n v="25"/>
    <n v="40"/>
    <x v="116"/>
    <n v="105"/>
  </r>
  <r>
    <n v="1140"/>
    <x v="61"/>
    <n v="10"/>
    <x v="8"/>
    <s v="123 10th Street"/>
    <x v="7"/>
    <x v="7"/>
    <n v="99999"/>
    <s v="USA"/>
    <x v="6"/>
    <x v="1"/>
    <d v="2014-06-12T00:00:00"/>
    <s v="Shipping Company A"/>
    <s v="Roland Wacker"/>
    <s v="123 10th Street"/>
    <x v="7"/>
    <s v="IL"/>
    <n v="99999"/>
    <s v="USA"/>
    <m/>
    <s v="Cajun Seasoning"/>
    <x v="7"/>
    <n v="22"/>
    <n v="80"/>
    <x v="117"/>
    <n v="172.48"/>
  </r>
  <r>
    <n v="1141"/>
    <x v="61"/>
    <n v="10"/>
    <x v="8"/>
    <s v="123 10th Street"/>
    <x v="7"/>
    <x v="7"/>
    <n v="99999"/>
    <s v="USA"/>
    <x v="6"/>
    <x v="1"/>
    <d v="2014-06-12T00:00:00"/>
    <s v="Shipping Company A"/>
    <s v="Roland Wacker"/>
    <s v="123 10th Street"/>
    <x v="7"/>
    <s v="IL"/>
    <n v="99999"/>
    <s v="USA"/>
    <m/>
    <s v="Chocolate Biscuits Mix"/>
    <x v="2"/>
    <n v="9.1999999999999993"/>
    <n v="38"/>
    <x v="7"/>
    <n v="33.211999999999996"/>
  </r>
  <r>
    <n v="1142"/>
    <x v="62"/>
    <n v="11"/>
    <x v="10"/>
    <s v="123 11th Street"/>
    <x v="9"/>
    <x v="9"/>
    <n v="99999"/>
    <s v="USA"/>
    <x v="5"/>
    <x v="3"/>
    <m/>
    <s v="Shipping Company C"/>
    <s v="Peter Krschne"/>
    <s v="123 11th Street"/>
    <x v="9"/>
    <s v="FL"/>
    <n v="99999"/>
    <s v="USA"/>
    <m/>
    <s v="Dried Plums"/>
    <x v="1"/>
    <n v="3.5"/>
    <n v="28"/>
    <x v="118"/>
    <n v="10.290000000000001"/>
  </r>
  <r>
    <n v="1143"/>
    <x v="62"/>
    <n v="11"/>
    <x v="10"/>
    <s v="123 11th Street"/>
    <x v="9"/>
    <x v="9"/>
    <n v="99999"/>
    <s v="USA"/>
    <x v="5"/>
    <x v="3"/>
    <m/>
    <s v="Shipping Company C"/>
    <s v="Peter Krschne"/>
    <s v="123 11th Street"/>
    <x v="9"/>
    <s v="FL"/>
    <n v="99999"/>
    <s v="USA"/>
    <m/>
    <s v="Green Tea"/>
    <x v="0"/>
    <n v="2.99"/>
    <n v="60"/>
    <x v="119"/>
    <n v="17.581200000000003"/>
  </r>
  <r>
    <n v="1144"/>
    <x v="63"/>
    <n v="1"/>
    <x v="11"/>
    <s v="123 1st Street"/>
    <x v="10"/>
    <x v="10"/>
    <n v="99999"/>
    <s v="USA"/>
    <x v="2"/>
    <x v="2"/>
    <m/>
    <m/>
    <s v="Anna Bedecs"/>
    <s v="123 1st Street"/>
    <x v="10"/>
    <s v="WA"/>
    <n v="99999"/>
    <s v="USA"/>
    <m/>
    <s v="Chai"/>
    <x v="0"/>
    <n v="18"/>
    <n v="33"/>
    <x v="120"/>
    <n v="58.212000000000003"/>
  </r>
  <r>
    <n v="1145"/>
    <x v="63"/>
    <n v="1"/>
    <x v="11"/>
    <s v="123 1st Street"/>
    <x v="10"/>
    <x v="10"/>
    <n v="99999"/>
    <s v="USA"/>
    <x v="2"/>
    <x v="2"/>
    <m/>
    <m/>
    <s v="Anna Bedecs"/>
    <s v="123 1st Street"/>
    <x v="10"/>
    <s v="WA"/>
    <n v="99999"/>
    <s v="USA"/>
    <m/>
    <s v="Coffee"/>
    <x v="0"/>
    <n v="46"/>
    <n v="22"/>
    <x v="121"/>
    <n v="101.2"/>
  </r>
  <r>
    <n v="1146"/>
    <x v="63"/>
    <n v="1"/>
    <x v="11"/>
    <s v="123 1st Street"/>
    <x v="10"/>
    <x v="10"/>
    <n v="99999"/>
    <s v="USA"/>
    <x v="2"/>
    <x v="2"/>
    <m/>
    <m/>
    <s v="Anna Bedecs"/>
    <s v="123 1st Street"/>
    <x v="10"/>
    <s v="WA"/>
    <n v="99999"/>
    <s v="USA"/>
    <m/>
    <s v="Green Tea"/>
    <x v="0"/>
    <n v="2.99"/>
    <n v="51"/>
    <x v="122"/>
    <n v="14.944020000000002"/>
  </r>
  <r>
    <n v="1147"/>
    <x v="64"/>
    <n v="28"/>
    <x v="7"/>
    <s v="789 28th Street"/>
    <x v="6"/>
    <x v="6"/>
    <n v="99999"/>
    <s v="USA"/>
    <x v="5"/>
    <x v="3"/>
    <d v="2014-06-30T00:00:00"/>
    <s v="Shipping Company C"/>
    <s v="Amritansh Raghav"/>
    <s v="789 28th Street"/>
    <x v="6"/>
    <s v="TN"/>
    <n v="99999"/>
    <s v="USA"/>
    <s v="Credit Card"/>
    <s v="Clam Chowder"/>
    <x v="4"/>
    <n v="9.65"/>
    <n v="60"/>
    <x v="123"/>
    <n v="57.321000000000005"/>
  </r>
  <r>
    <n v="1148"/>
    <x v="64"/>
    <n v="28"/>
    <x v="7"/>
    <s v="789 28th Street"/>
    <x v="6"/>
    <x v="6"/>
    <n v="99999"/>
    <s v="USA"/>
    <x v="5"/>
    <x v="3"/>
    <d v="2014-06-30T00:00:00"/>
    <s v="Shipping Company C"/>
    <s v="Amritansh Raghav"/>
    <s v="789 28th Street"/>
    <x v="6"/>
    <s v="TN"/>
    <n v="99999"/>
    <s v="USA"/>
    <s v="Credit Card"/>
    <s v="Crab Meat"/>
    <x v="8"/>
    <n v="18.399999999999999"/>
    <n v="98"/>
    <x v="124"/>
    <n v="183.9264"/>
  </r>
  <r>
    <n v="1149"/>
    <x v="65"/>
    <n v="9"/>
    <x v="12"/>
    <s v="123 9th Street"/>
    <x v="11"/>
    <x v="11"/>
    <n v="99999"/>
    <s v="USA"/>
    <x v="7"/>
    <x v="0"/>
    <d v="2014-06-11T00:00:00"/>
    <s v="Shipping Company A"/>
    <s v="Sven Mortensen"/>
    <s v="123 9th Street"/>
    <x v="11"/>
    <s v="UT"/>
    <n v="99999"/>
    <s v="USA"/>
    <s v="Check"/>
    <s v="Ravioli"/>
    <x v="9"/>
    <n v="19.5"/>
    <n v="27"/>
    <x v="125"/>
    <n v="51.070500000000003"/>
  </r>
  <r>
    <n v="1150"/>
    <x v="65"/>
    <n v="9"/>
    <x v="12"/>
    <s v="123 9th Street"/>
    <x v="11"/>
    <x v="11"/>
    <n v="99999"/>
    <s v="USA"/>
    <x v="7"/>
    <x v="0"/>
    <d v="2014-06-11T00:00:00"/>
    <s v="Shipping Company A"/>
    <s v="Sven Mortensen"/>
    <s v="123 9th Street"/>
    <x v="11"/>
    <s v="UT"/>
    <n v="99999"/>
    <s v="USA"/>
    <s v="Check"/>
    <s v="Mozzarella"/>
    <x v="10"/>
    <n v="34.799999999999997"/>
    <n v="88"/>
    <x v="126"/>
    <n v="303.17759999999993"/>
  </r>
  <r>
    <n v="1151"/>
    <x v="66"/>
    <n v="6"/>
    <x v="6"/>
    <s v="123 6th Street"/>
    <x v="5"/>
    <x v="5"/>
    <n v="99999"/>
    <s v="USA"/>
    <x v="4"/>
    <x v="2"/>
    <d v="2014-06-08T00:00:00"/>
    <s v="Shipping Company B"/>
    <s v="Francisco Pérez-Olaeta"/>
    <s v="123 6th Street"/>
    <x v="5"/>
    <s v="WI"/>
    <n v="99999"/>
    <s v="USA"/>
    <s v="Credit Card"/>
    <s v="Beer"/>
    <x v="0"/>
    <n v="14"/>
    <n v="65"/>
    <x v="127"/>
    <n v="95.55"/>
  </r>
  <r>
    <n v="1152"/>
    <x v="67"/>
    <n v="8"/>
    <x v="3"/>
    <s v="123 8th Street"/>
    <x v="2"/>
    <x v="2"/>
    <n v="99999"/>
    <s v="USA"/>
    <x v="2"/>
    <x v="2"/>
    <d v="2014-06-10T00:00:00"/>
    <s v="Shipping Company B"/>
    <s v="Elizabeth Andersen"/>
    <s v="123 8th Street"/>
    <x v="2"/>
    <s v="OR"/>
    <n v="99999"/>
    <s v="USA"/>
    <s v="Check"/>
    <s v="Curry Sauce"/>
    <x v="5"/>
    <n v="40"/>
    <n v="38"/>
    <x v="128"/>
    <n v="148.96"/>
  </r>
  <r>
    <n v="1153"/>
    <x v="67"/>
    <n v="8"/>
    <x v="3"/>
    <s v="123 8th Street"/>
    <x v="2"/>
    <x v="2"/>
    <n v="99999"/>
    <s v="USA"/>
    <x v="2"/>
    <x v="2"/>
    <n v="41800"/>
    <s v="Shipping Company B"/>
    <s v="Elizabeth Andersen"/>
    <s v="123 8th Street"/>
    <x v="2"/>
    <s v="OR"/>
    <n v="99999"/>
    <s v="USA"/>
    <s v="Check"/>
    <s v="Chocolate Biscuits Mix"/>
    <x v="2"/>
    <n v="9.1999999999999993"/>
    <n v="80"/>
    <x v="129"/>
    <n v="70.656000000000006"/>
  </r>
  <r>
    <n v="1154"/>
    <x v="68"/>
    <n v="25"/>
    <x v="13"/>
    <s v="789 25th Street"/>
    <x v="7"/>
    <x v="7"/>
    <n v="99999"/>
    <s v="USA"/>
    <x v="6"/>
    <x v="1"/>
    <d v="2014-06-27T00:00:00"/>
    <s v="Shipping Company A"/>
    <s v="John Rodman"/>
    <s v="789 25th Street"/>
    <x v="7"/>
    <s v="IL"/>
    <n v="99999"/>
    <s v="USA"/>
    <s v="Cash"/>
    <s v="Scones"/>
    <x v="2"/>
    <n v="10"/>
    <n v="49"/>
    <x v="130"/>
    <n v="47.04"/>
  </r>
  <r>
    <n v="1155"/>
    <x v="69"/>
    <n v="26"/>
    <x v="14"/>
    <s v="789 26th Street"/>
    <x v="9"/>
    <x v="9"/>
    <n v="99999"/>
    <s v="USA"/>
    <x v="5"/>
    <x v="3"/>
    <d v="2014-06-28T00:00:00"/>
    <s v="Shipping Company C"/>
    <s v="Run Liu"/>
    <s v="789 26th Street"/>
    <x v="9"/>
    <s v="FL"/>
    <n v="99999"/>
    <s v="USA"/>
    <s v="Credit Card"/>
    <s v="Olive Oil"/>
    <x v="13"/>
    <n v="21.35"/>
    <n v="90"/>
    <x v="131"/>
    <n v="186.38550000000004"/>
  </r>
  <r>
    <n v="1156"/>
    <x v="69"/>
    <n v="26"/>
    <x v="14"/>
    <s v="789 26th Street"/>
    <x v="9"/>
    <x v="9"/>
    <n v="99999"/>
    <s v="USA"/>
    <x v="5"/>
    <x v="3"/>
    <d v="2014-06-28T00:00:00"/>
    <s v="Shipping Company C"/>
    <s v="Run Liu"/>
    <s v="789 26th Street"/>
    <x v="9"/>
    <s v="FL"/>
    <n v="99999"/>
    <s v="USA"/>
    <s v="Credit Card"/>
    <s v="Clam Chowder"/>
    <x v="4"/>
    <n v="9.65"/>
    <n v="60"/>
    <x v="123"/>
    <n v="59.637000000000008"/>
  </r>
  <r>
    <n v="1157"/>
    <x v="69"/>
    <n v="26"/>
    <x v="14"/>
    <s v="789 26th Street"/>
    <x v="9"/>
    <x v="9"/>
    <n v="99999"/>
    <s v="USA"/>
    <x v="5"/>
    <x v="3"/>
    <n v="41818"/>
    <s v="Shipping Company C"/>
    <s v="Run Liu"/>
    <s v="789 26th Street"/>
    <x v="9"/>
    <s v="FL"/>
    <n v="99999"/>
    <s v="USA"/>
    <s v="Credit Card"/>
    <s v="Crab Meat"/>
    <x v="8"/>
    <n v="18.399999999999999"/>
    <n v="39"/>
    <x v="132"/>
    <n v="71.759999999999991"/>
  </r>
  <r>
    <n v="1158"/>
    <x v="70"/>
    <n v="29"/>
    <x v="4"/>
    <s v="789 29th Street"/>
    <x v="3"/>
    <x v="3"/>
    <n v="99999"/>
    <s v="USA"/>
    <x v="3"/>
    <x v="0"/>
    <n v="41821"/>
    <s v="Shipping Company B"/>
    <s v="Soo Jung Lee"/>
    <s v="789 29th Street"/>
    <x v="3"/>
    <s v="CO"/>
    <n v="99999"/>
    <s v="USA"/>
    <s v="Check"/>
    <s v="Beer"/>
    <x v="0"/>
    <n v="14"/>
    <n v="79"/>
    <x v="133"/>
    <n v="113.91800000000001"/>
  </r>
  <r>
    <n v="1159"/>
    <x v="66"/>
    <n v="6"/>
    <x v="6"/>
    <s v="123 6th Street"/>
    <x v="5"/>
    <x v="5"/>
    <n v="99999"/>
    <s v="USA"/>
    <x v="4"/>
    <x v="2"/>
    <n v="41798"/>
    <s v="Shipping Company C"/>
    <s v="Francisco Pérez-Olaeta"/>
    <s v="123 6th Street"/>
    <x v="5"/>
    <s v="WI"/>
    <n v="99999"/>
    <s v="USA"/>
    <s v="Check"/>
    <s v="Chocolate"/>
    <x v="3"/>
    <n v="12.75"/>
    <n v="44"/>
    <x v="134"/>
    <n v="57.222000000000001"/>
  </r>
  <r>
    <n v="1161"/>
    <x v="71"/>
    <n v="4"/>
    <x v="1"/>
    <s v="123 4th Street"/>
    <x v="1"/>
    <x v="1"/>
    <n v="99999"/>
    <s v="USA"/>
    <x v="1"/>
    <x v="1"/>
    <n v="41796"/>
    <s v="Shipping Company A"/>
    <s v="Christina Lee"/>
    <s v="123 4th Street"/>
    <x v="1"/>
    <s v="NY"/>
    <n v="99999"/>
    <s v="USA"/>
    <s v="Credit Card"/>
    <s v="Marmalade"/>
    <x v="6"/>
    <n v="81"/>
    <n v="98"/>
    <x v="135"/>
    <n v="769.98599999999999"/>
  </r>
  <r>
    <n v="1162"/>
    <x v="71"/>
    <n v="4"/>
    <x v="1"/>
    <s v="123 4th Street"/>
    <x v="1"/>
    <x v="1"/>
    <n v="99999"/>
    <s v="USA"/>
    <x v="1"/>
    <x v="1"/>
    <n v="41796"/>
    <s v="Shipping Company A"/>
    <s v="Christina Lee"/>
    <s v="123 4th Street"/>
    <x v="1"/>
    <s v="NY"/>
    <n v="99999"/>
    <s v="USA"/>
    <s v="Credit Card"/>
    <s v="Long Grain Rice"/>
    <x v="14"/>
    <n v="7"/>
    <n v="61"/>
    <x v="136"/>
    <n v="42.273000000000003"/>
  </r>
  <r>
    <n v="1164"/>
    <x v="67"/>
    <n v="8"/>
    <x v="3"/>
    <s v="123 8th Street"/>
    <x v="2"/>
    <x v="2"/>
    <n v="99999"/>
    <s v="USA"/>
    <x v="2"/>
    <x v="2"/>
    <d v="2014-06-10T00:00:00"/>
    <s v="Shipping Company C"/>
    <s v="Elizabeth Andersen"/>
    <s v="123 8th Street"/>
    <x v="2"/>
    <s v="OR"/>
    <n v="99999"/>
    <s v="USA"/>
    <s v="Credit Card"/>
    <s v="Mozzarella"/>
    <x v="10"/>
    <n v="34.799999999999997"/>
    <n v="30"/>
    <x v="137"/>
    <n v="109.62"/>
  </r>
  <r>
    <n v="1167"/>
    <x v="72"/>
    <n v="3"/>
    <x v="5"/>
    <s v="123 3rd Street"/>
    <x v="4"/>
    <x v="4"/>
    <n v="99999"/>
    <s v="USA"/>
    <x v="0"/>
    <x v="0"/>
    <d v="2014-06-05T00:00:00"/>
    <s v="Shipping Company B"/>
    <s v="Thomas Axerr"/>
    <s v="123 3rd Street"/>
    <x v="4"/>
    <s v="CA"/>
    <n v="99999"/>
    <s v="USA"/>
    <s v="Cash"/>
    <s v="Syrup"/>
    <x v="7"/>
    <n v="10"/>
    <n v="24"/>
    <x v="138"/>
    <n v="25.200000000000003"/>
  </r>
  <r>
    <n v="1168"/>
    <x v="72"/>
    <n v="3"/>
    <x v="5"/>
    <s v="123 3rd Street"/>
    <x v="4"/>
    <x v="4"/>
    <n v="99999"/>
    <s v="USA"/>
    <x v="0"/>
    <x v="0"/>
    <d v="2014-06-05T00:00:00"/>
    <s v="Shipping Company B"/>
    <s v="Thomas Axerr"/>
    <s v="123 3rd Street"/>
    <x v="4"/>
    <s v="CA"/>
    <n v="99999"/>
    <s v="USA"/>
    <s v="Cash"/>
    <s v="Curry Sauce"/>
    <x v="5"/>
    <n v="40"/>
    <n v="28"/>
    <x v="139"/>
    <n v="109.75999999999999"/>
  </r>
  <r>
    <n v="1172"/>
    <x v="61"/>
    <n v="10"/>
    <x v="8"/>
    <s v="123 10th Street"/>
    <x v="7"/>
    <x v="7"/>
    <n v="99999"/>
    <s v="USA"/>
    <x v="6"/>
    <x v="1"/>
    <d v="2014-06-12T00:00:00"/>
    <s v="Shipping Company B"/>
    <s v="Roland Wacker"/>
    <s v="123 10th Street"/>
    <x v="7"/>
    <s v="IL"/>
    <n v="99999"/>
    <s v="USA"/>
    <s v="Credit Card"/>
    <s v="Almonds"/>
    <x v="1"/>
    <n v="10"/>
    <n v="74"/>
    <x v="140"/>
    <n v="71.78"/>
  </r>
  <r>
    <n v="1174"/>
    <x v="61"/>
    <n v="10"/>
    <x v="8"/>
    <s v="123 10th Street"/>
    <x v="7"/>
    <x v="7"/>
    <n v="99999"/>
    <s v="USA"/>
    <x v="6"/>
    <x v="1"/>
    <m/>
    <s v="Shipping Company A"/>
    <s v="Roland Wacker"/>
    <s v="123 10th Street"/>
    <x v="7"/>
    <s v="IL"/>
    <n v="99999"/>
    <s v="USA"/>
    <m/>
    <s v="Dried Plums"/>
    <x v="1"/>
    <n v="3.5"/>
    <n v="90"/>
    <x v="141"/>
    <n v="30.24"/>
  </r>
  <r>
    <n v="1175"/>
    <x v="62"/>
    <n v="11"/>
    <x v="10"/>
    <s v="123 11th Street"/>
    <x v="9"/>
    <x v="9"/>
    <n v="99999"/>
    <s v="USA"/>
    <x v="5"/>
    <x v="3"/>
    <m/>
    <s v="Shipping Company C"/>
    <s v="Peter Krschne"/>
    <s v="123 11th Street"/>
    <x v="9"/>
    <s v="FL"/>
    <n v="99999"/>
    <s v="USA"/>
    <m/>
    <s v="Curry Sauce"/>
    <x v="5"/>
    <n v="40"/>
    <n v="27"/>
    <x v="142"/>
    <n v="111.24000000000001"/>
  </r>
  <r>
    <n v="1176"/>
    <x v="63"/>
    <n v="1"/>
    <x v="11"/>
    <s v="123 1st Street"/>
    <x v="10"/>
    <x v="10"/>
    <n v="99999"/>
    <s v="USA"/>
    <x v="2"/>
    <x v="2"/>
    <m/>
    <s v="Shipping Company C"/>
    <s v="Anna Bedecs"/>
    <s v="123 1st Street"/>
    <x v="10"/>
    <s v="WA"/>
    <n v="99999"/>
    <s v="USA"/>
    <m/>
    <s v="Crab Meat"/>
    <x v="8"/>
    <n v="18.399999999999999"/>
    <n v="71"/>
    <x v="143"/>
    <n v="137.172"/>
  </r>
  <r>
    <n v="1177"/>
    <x v="64"/>
    <n v="28"/>
    <x v="7"/>
    <s v="789 28th Street"/>
    <x v="6"/>
    <x v="6"/>
    <n v="99999"/>
    <s v="USA"/>
    <x v="5"/>
    <x v="3"/>
    <d v="2014-06-30T00:00:00"/>
    <s v="Shipping Company C"/>
    <s v="Amritansh Raghav"/>
    <s v="789 28th Street"/>
    <x v="6"/>
    <s v="TN"/>
    <n v="99999"/>
    <s v="USA"/>
    <s v="Credit Card"/>
    <s v="Coffee"/>
    <x v="0"/>
    <n v="46"/>
    <n v="74"/>
    <x v="144"/>
    <n v="340.40000000000003"/>
  </r>
  <r>
    <n v="1178"/>
    <x v="65"/>
    <n v="9"/>
    <x v="12"/>
    <s v="123 9th Street"/>
    <x v="11"/>
    <x v="11"/>
    <n v="99999"/>
    <s v="USA"/>
    <x v="7"/>
    <x v="0"/>
    <d v="2014-06-11T00:00:00"/>
    <s v="Shipping Company A"/>
    <s v="Sven Mortensen"/>
    <s v="123 9th Street"/>
    <x v="11"/>
    <s v="UT"/>
    <n v="99999"/>
    <s v="USA"/>
    <s v="Check"/>
    <s v="Clam Chowder"/>
    <x v="4"/>
    <n v="9.65"/>
    <n v="76"/>
    <x v="145"/>
    <n v="72.6066"/>
  </r>
  <r>
    <n v="1179"/>
    <x v="66"/>
    <n v="6"/>
    <x v="6"/>
    <s v="123 6th Street"/>
    <x v="5"/>
    <x v="5"/>
    <n v="99999"/>
    <s v="USA"/>
    <x v="4"/>
    <x v="2"/>
    <d v="2014-06-08T00:00:00"/>
    <s v="Shipping Company B"/>
    <s v="Francisco Pérez-Olaeta"/>
    <s v="123 6th Street"/>
    <x v="5"/>
    <s v="WI"/>
    <n v="99999"/>
    <s v="USA"/>
    <s v="Credit Card"/>
    <s v="Chocolate"/>
    <x v="3"/>
    <n v="12.75"/>
    <n v="96"/>
    <x v="146"/>
    <n v="123.62400000000001"/>
  </r>
  <r>
    <n v="1180"/>
    <x v="67"/>
    <n v="8"/>
    <x v="3"/>
    <s v="123 8th Street"/>
    <x v="2"/>
    <x v="2"/>
    <n v="99999"/>
    <s v="USA"/>
    <x v="2"/>
    <x v="2"/>
    <d v="2014-06-10T00:00:00"/>
    <s v="Shipping Company B"/>
    <s v="Elizabeth Andersen"/>
    <s v="123 8th Street"/>
    <x v="2"/>
    <s v="OR"/>
    <n v="99999"/>
    <s v="USA"/>
    <s v="Check"/>
    <s v="Chocolate"/>
    <x v="3"/>
    <n v="12.75"/>
    <n v="92"/>
    <x v="147"/>
    <n v="116.12700000000001"/>
  </r>
  <r>
    <n v="1181"/>
    <x v="68"/>
    <n v="25"/>
    <x v="13"/>
    <s v="789 25th Street"/>
    <x v="7"/>
    <x v="7"/>
    <n v="99999"/>
    <s v="USA"/>
    <x v="6"/>
    <x v="1"/>
    <d v="2014-06-27T00:00:00"/>
    <s v="Shipping Company A"/>
    <s v="John Rodman"/>
    <s v="789 25th Street"/>
    <x v="7"/>
    <s v="IL"/>
    <n v="99999"/>
    <s v="USA"/>
    <s v="Cash"/>
    <s v="Cajun Seasoning"/>
    <x v="7"/>
    <n v="22"/>
    <n v="93"/>
    <x v="148"/>
    <n v="200.50800000000001"/>
  </r>
  <r>
    <n v="1182"/>
    <x v="69"/>
    <n v="26"/>
    <x v="14"/>
    <s v="789 26th Street"/>
    <x v="9"/>
    <x v="9"/>
    <n v="99999"/>
    <s v="USA"/>
    <x v="5"/>
    <x v="3"/>
    <d v="2014-06-28T00:00:00"/>
    <s v="Shipping Company C"/>
    <s v="Run Liu"/>
    <s v="789 26th Street"/>
    <x v="9"/>
    <s v="FL"/>
    <n v="99999"/>
    <s v="USA"/>
    <s v="Credit Card"/>
    <s v="Boysenberry Spread"/>
    <x v="6"/>
    <n v="25"/>
    <n v="18"/>
    <x v="149"/>
    <n v="42.75"/>
  </r>
  <r>
    <n v="1183"/>
    <x v="70"/>
    <n v="29"/>
    <x v="4"/>
    <s v="789 29th Street"/>
    <x v="3"/>
    <x v="3"/>
    <n v="99999"/>
    <s v="USA"/>
    <x v="3"/>
    <x v="0"/>
    <d v="2014-07-01T00:00:00"/>
    <s v="Shipping Company B"/>
    <s v="Soo Jung Lee"/>
    <s v="789 29th Street"/>
    <x v="3"/>
    <s v="CO"/>
    <n v="99999"/>
    <s v="USA"/>
    <s v="Check"/>
    <s v="Fruit Cocktail"/>
    <x v="12"/>
    <n v="39"/>
    <n v="98"/>
    <x v="150"/>
    <n v="397.48800000000006"/>
  </r>
  <r>
    <n v="1184"/>
    <x v="66"/>
    <n v="6"/>
    <x v="6"/>
    <s v="123 6th Street"/>
    <x v="5"/>
    <x v="5"/>
    <n v="99999"/>
    <s v="USA"/>
    <x v="4"/>
    <x v="2"/>
    <d v="2014-06-08T00:00:00"/>
    <s v="Shipping Company C"/>
    <s v="Francisco Pérez-Olaeta"/>
    <s v="123 6th Street"/>
    <x v="5"/>
    <s v="WI"/>
    <n v="99999"/>
    <s v="USA"/>
    <s v="Check"/>
    <s v="Dried Pears"/>
    <x v="1"/>
    <n v="30"/>
    <n v="46"/>
    <x v="65"/>
    <n v="135.24"/>
  </r>
  <r>
    <n v="1185"/>
    <x v="66"/>
    <n v="6"/>
    <x v="6"/>
    <s v="123 6th Street"/>
    <x v="5"/>
    <x v="5"/>
    <n v="99999"/>
    <s v="USA"/>
    <x v="4"/>
    <x v="2"/>
    <d v="2014-06-08T00:00:00"/>
    <s v="Shipping Company C"/>
    <s v="Francisco Pérez-Olaeta"/>
    <s v="123 6th Street"/>
    <x v="5"/>
    <s v="WI"/>
    <n v="99999"/>
    <s v="USA"/>
    <s v="Check"/>
    <s v="Dried Apples"/>
    <x v="1"/>
    <n v="53"/>
    <n v="14"/>
    <x v="48"/>
    <n v="74.2"/>
  </r>
  <r>
    <n v="1186"/>
    <x v="71"/>
    <n v="4"/>
    <x v="1"/>
    <s v="123 4th Street"/>
    <x v="1"/>
    <x v="1"/>
    <n v="99999"/>
    <s v="USA"/>
    <x v="1"/>
    <x v="1"/>
    <m/>
    <m/>
    <s v="Christina Lee"/>
    <s v="123 4th Street"/>
    <x v="1"/>
    <s v="NY"/>
    <n v="99999"/>
    <s v="USA"/>
    <m/>
    <s v="Gnocchi"/>
    <x v="9"/>
    <n v="38"/>
    <n v="85"/>
    <x v="151"/>
    <n v="319.77"/>
  </r>
  <r>
    <n v="1187"/>
    <x v="72"/>
    <n v="3"/>
    <x v="5"/>
    <s v="123 3rd Street"/>
    <x v="4"/>
    <x v="4"/>
    <n v="99999"/>
    <s v="USA"/>
    <x v="0"/>
    <x v="0"/>
    <m/>
    <m/>
    <s v="Thomas Axerr"/>
    <s v="123 3rd Street"/>
    <x v="4"/>
    <s v="CA"/>
    <n v="99999"/>
    <s v="USA"/>
    <m/>
    <s v="Green Tea"/>
    <x v="0"/>
    <n v="2.99"/>
    <n v="88"/>
    <x v="76"/>
    <n v="25.522639999999999"/>
  </r>
  <r>
    <n v="1188"/>
    <x v="73"/>
    <n v="1"/>
    <x v="11"/>
    <s v="123 1st Street"/>
    <x v="10"/>
    <x v="10"/>
    <n v="99999"/>
    <s v="USA"/>
    <x v="2"/>
    <x v="2"/>
    <m/>
    <m/>
    <s v="Anna Bedecs"/>
    <s v="123 1st Street"/>
    <x v="10"/>
    <s v="WA"/>
    <n v="99999"/>
    <s v="USA"/>
    <m/>
    <s v="Green Tea"/>
    <x v="0"/>
    <n v="2.99"/>
    <n v="81"/>
    <x v="152"/>
    <n v="23.976810000000004"/>
  </r>
  <r>
    <n v="1189"/>
    <x v="74"/>
    <n v="28"/>
    <x v="7"/>
    <s v="789 28th Street"/>
    <x v="6"/>
    <x v="6"/>
    <n v="99999"/>
    <s v="USA"/>
    <x v="5"/>
    <x v="3"/>
    <d v="2014-07-30T00:00:00"/>
    <s v="Shipping Company C"/>
    <s v="Amritansh Raghav"/>
    <s v="789 28th Street"/>
    <x v="6"/>
    <s v="TN"/>
    <n v="99999"/>
    <s v="USA"/>
    <s v="Credit Card"/>
    <s v="Clam Chowder"/>
    <x v="4"/>
    <n v="9.65"/>
    <n v="33"/>
    <x v="153"/>
    <n v="30.252749999999999"/>
  </r>
  <r>
    <n v="1190"/>
    <x v="74"/>
    <n v="28"/>
    <x v="7"/>
    <s v="789 28th Street"/>
    <x v="6"/>
    <x v="6"/>
    <n v="99999"/>
    <s v="USA"/>
    <x v="5"/>
    <x v="3"/>
    <d v="2014-07-30T00:00:00"/>
    <s v="Shipping Company C"/>
    <s v="Amritansh Raghav"/>
    <s v="789 28th Street"/>
    <x v="6"/>
    <s v="TN"/>
    <n v="99999"/>
    <s v="USA"/>
    <s v="Credit Card"/>
    <s v="Crab Meat"/>
    <x v="8"/>
    <n v="18.399999999999999"/>
    <n v="47"/>
    <x v="154"/>
    <n v="90.804000000000002"/>
  </r>
  <r>
    <n v="1191"/>
    <x v="75"/>
    <n v="9"/>
    <x v="12"/>
    <s v="123 9th Street"/>
    <x v="11"/>
    <x v="11"/>
    <n v="99999"/>
    <s v="USA"/>
    <x v="7"/>
    <x v="0"/>
    <d v="2014-07-11T00:00:00"/>
    <s v="Shipping Company A"/>
    <s v="Sven Mortensen"/>
    <s v="123 9th Street"/>
    <x v="11"/>
    <s v="UT"/>
    <n v="99999"/>
    <s v="USA"/>
    <s v="Check"/>
    <s v="Ravioli"/>
    <x v="9"/>
    <n v="19.5"/>
    <n v="61"/>
    <x v="155"/>
    <n v="123.70800000000001"/>
  </r>
  <r>
    <n v="1192"/>
    <x v="75"/>
    <n v="9"/>
    <x v="12"/>
    <s v="123 9th Street"/>
    <x v="11"/>
    <x v="11"/>
    <n v="99999"/>
    <s v="USA"/>
    <x v="7"/>
    <x v="0"/>
    <d v="2014-07-11T00:00:00"/>
    <s v="Shipping Company A"/>
    <s v="Sven Mortensen"/>
    <s v="123 9th Street"/>
    <x v="11"/>
    <s v="UT"/>
    <n v="99999"/>
    <s v="USA"/>
    <s v="Check"/>
    <s v="Mozzarella"/>
    <x v="10"/>
    <n v="34.799999999999997"/>
    <n v="27"/>
    <x v="156"/>
    <n v="95.839199999999991"/>
  </r>
  <r>
    <n v="1193"/>
    <x v="76"/>
    <n v="6"/>
    <x v="6"/>
    <s v="123 6th Street"/>
    <x v="5"/>
    <x v="5"/>
    <n v="99999"/>
    <s v="USA"/>
    <x v="4"/>
    <x v="2"/>
    <d v="2014-07-08T00:00:00"/>
    <s v="Shipping Company B"/>
    <s v="Francisco Pérez-Olaeta"/>
    <s v="123 6th Street"/>
    <x v="5"/>
    <s v="WI"/>
    <n v="99999"/>
    <s v="USA"/>
    <s v="Credit Card"/>
    <s v="Beer"/>
    <x v="0"/>
    <n v="14"/>
    <n v="84"/>
    <x v="102"/>
    <n v="118.77600000000001"/>
  </r>
  <r>
    <n v="1194"/>
    <x v="77"/>
    <n v="8"/>
    <x v="3"/>
    <s v="123 8th Street"/>
    <x v="2"/>
    <x v="2"/>
    <n v="99999"/>
    <s v="USA"/>
    <x v="2"/>
    <x v="2"/>
    <d v="2014-07-10T00:00:00"/>
    <s v="Shipping Company B"/>
    <s v="Elizabeth Andersen"/>
    <s v="123 8th Street"/>
    <x v="2"/>
    <s v="OR"/>
    <n v="99999"/>
    <s v="USA"/>
    <s v="Check"/>
    <s v="Curry Sauce"/>
    <x v="5"/>
    <n v="40"/>
    <n v="91"/>
    <x v="157"/>
    <n v="360.36"/>
  </r>
  <r>
    <n v="1195"/>
    <x v="77"/>
    <n v="8"/>
    <x v="3"/>
    <s v="123 8th Street"/>
    <x v="2"/>
    <x v="2"/>
    <n v="99999"/>
    <s v="USA"/>
    <x v="2"/>
    <x v="2"/>
    <d v="2014-07-10T00:00:00"/>
    <s v="Shipping Company B"/>
    <s v="Elizabeth Andersen"/>
    <s v="123 8th Street"/>
    <x v="2"/>
    <s v="OR"/>
    <n v="99999"/>
    <s v="USA"/>
    <s v="Check"/>
    <s v="Chocolate Biscuits Mix"/>
    <x v="2"/>
    <n v="9.1999999999999993"/>
    <n v="36"/>
    <x v="158"/>
    <n v="34.444800000000001"/>
  </r>
  <r>
    <n v="1196"/>
    <x v="78"/>
    <n v="25"/>
    <x v="13"/>
    <s v="789 25th Street"/>
    <x v="7"/>
    <x v="7"/>
    <n v="99999"/>
    <s v="USA"/>
    <x v="6"/>
    <x v="1"/>
    <n v="41847"/>
    <s v="Shipping Company A"/>
    <s v="John Rodman"/>
    <s v="789 25th Street"/>
    <x v="7"/>
    <s v="IL"/>
    <n v="99999"/>
    <s v="USA"/>
    <s v="Cash"/>
    <s v="Scones"/>
    <x v="2"/>
    <n v="10"/>
    <n v="34"/>
    <x v="159"/>
    <n v="34.340000000000003"/>
  </r>
  <r>
    <n v="1197"/>
    <x v="79"/>
    <n v="26"/>
    <x v="14"/>
    <s v="789 26th Street"/>
    <x v="9"/>
    <x v="9"/>
    <n v="99999"/>
    <s v="USA"/>
    <x v="5"/>
    <x v="3"/>
    <n v="41848"/>
    <s v="Shipping Company C"/>
    <s v="Run Liu"/>
    <s v="789 26th Street"/>
    <x v="9"/>
    <s v="FL"/>
    <n v="99999"/>
    <s v="USA"/>
    <s v="Credit Card"/>
    <s v="Olive Oil"/>
    <x v="13"/>
    <n v="21.35"/>
    <n v="81"/>
    <x v="160"/>
    <n v="178.12305000000003"/>
  </r>
  <r>
    <n v="1198"/>
    <x v="79"/>
    <n v="26"/>
    <x v="14"/>
    <s v="789 26th Street"/>
    <x v="9"/>
    <x v="9"/>
    <n v="99999"/>
    <s v="USA"/>
    <x v="5"/>
    <x v="3"/>
    <n v="41848"/>
    <s v="Shipping Company C"/>
    <s v="Run Liu"/>
    <s v="789 26th Street"/>
    <x v="9"/>
    <s v="FL"/>
    <n v="99999"/>
    <s v="USA"/>
    <s v="Credit Card"/>
    <s v="Clam Chowder"/>
    <x v="4"/>
    <n v="9.65"/>
    <n v="25"/>
    <x v="161"/>
    <n v="23.401250000000001"/>
  </r>
  <r>
    <n v="1199"/>
    <x v="79"/>
    <n v="26"/>
    <x v="14"/>
    <s v="789 26th Street"/>
    <x v="9"/>
    <x v="9"/>
    <n v="99999"/>
    <s v="USA"/>
    <x v="5"/>
    <x v="3"/>
    <n v="41848"/>
    <s v="Shipping Company C"/>
    <s v="Run Liu"/>
    <s v="789 26th Street"/>
    <x v="9"/>
    <s v="FL"/>
    <n v="99999"/>
    <s v="USA"/>
    <s v="Credit Card"/>
    <s v="Crab Meat"/>
    <x v="8"/>
    <n v="18.399999999999999"/>
    <n v="12"/>
    <x v="162"/>
    <n v="22.08"/>
  </r>
  <r>
    <n v="1200"/>
    <x v="80"/>
    <n v="29"/>
    <x v="4"/>
    <s v="789 29th Street"/>
    <x v="3"/>
    <x v="3"/>
    <n v="99999"/>
    <s v="USA"/>
    <x v="3"/>
    <x v="0"/>
    <d v="2014-07-31T00:00:00"/>
    <s v="Shipping Company B"/>
    <s v="Soo Jung Lee"/>
    <s v="789 29th Street"/>
    <x v="3"/>
    <s v="CO"/>
    <n v="99999"/>
    <s v="USA"/>
    <s v="Check"/>
    <s v="Beer"/>
    <x v="0"/>
    <n v="14"/>
    <n v="23"/>
    <x v="163"/>
    <n v="30.912000000000003"/>
  </r>
  <r>
    <n v="1201"/>
    <x v="76"/>
    <n v="6"/>
    <x v="6"/>
    <s v="123 6th Street"/>
    <x v="5"/>
    <x v="5"/>
    <n v="99999"/>
    <s v="USA"/>
    <x v="4"/>
    <x v="2"/>
    <d v="2014-07-08T00:00:00"/>
    <s v="Shipping Company C"/>
    <s v="Francisco Pérez-Olaeta"/>
    <s v="123 6th Street"/>
    <x v="5"/>
    <s v="WI"/>
    <n v="99999"/>
    <s v="USA"/>
    <s v="Check"/>
    <s v="Chocolate"/>
    <x v="3"/>
    <n v="12.75"/>
    <n v="76"/>
    <x v="164"/>
    <n v="97.869"/>
  </r>
  <r>
    <n v="1203"/>
    <x v="81"/>
    <n v="4"/>
    <x v="1"/>
    <s v="123 4th Street"/>
    <x v="1"/>
    <x v="1"/>
    <n v="99999"/>
    <s v="USA"/>
    <x v="1"/>
    <x v="1"/>
    <d v="2014-07-06T00:00:00"/>
    <s v="Shipping Company A"/>
    <s v="Christina Lee"/>
    <s v="123 4th Street"/>
    <x v="1"/>
    <s v="NY"/>
    <n v="99999"/>
    <s v="USA"/>
    <s v="Credit Card"/>
    <s v="Marmalade"/>
    <x v="6"/>
    <n v="81"/>
    <n v="55"/>
    <x v="165"/>
    <n v="445.5"/>
  </r>
  <r>
    <n v="1204"/>
    <x v="81"/>
    <n v="4"/>
    <x v="1"/>
    <s v="123 4th Street"/>
    <x v="1"/>
    <x v="1"/>
    <n v="99999"/>
    <s v="USA"/>
    <x v="1"/>
    <x v="1"/>
    <d v="2014-07-06T00:00:00"/>
    <s v="Shipping Company A"/>
    <s v="Christina Lee"/>
    <s v="123 4th Street"/>
    <x v="1"/>
    <s v="NY"/>
    <n v="99999"/>
    <s v="USA"/>
    <s v="Credit Card"/>
    <s v="Long Grain Rice"/>
    <x v="14"/>
    <n v="7"/>
    <n v="19"/>
    <x v="166"/>
    <n v="12.901"/>
  </r>
  <r>
    <n v="1206"/>
    <x v="77"/>
    <n v="8"/>
    <x v="3"/>
    <s v="123 8th Street"/>
    <x v="2"/>
    <x v="2"/>
    <n v="99999"/>
    <s v="USA"/>
    <x v="2"/>
    <x v="2"/>
    <d v="2014-07-10T00:00:00"/>
    <s v="Shipping Company C"/>
    <s v="Elizabeth Andersen"/>
    <s v="123 8th Street"/>
    <x v="2"/>
    <s v="OR"/>
    <n v="99999"/>
    <s v="USA"/>
    <s v="Credit Card"/>
    <s v="Mozzarella"/>
    <x v="10"/>
    <n v="34.799999999999997"/>
    <n v="27"/>
    <x v="156"/>
    <n v="89.261999999999986"/>
  </r>
  <r>
    <n v="1209"/>
    <x v="82"/>
    <n v="3"/>
    <x v="5"/>
    <s v="123 3rd Street"/>
    <x v="4"/>
    <x v="4"/>
    <n v="99999"/>
    <s v="USA"/>
    <x v="0"/>
    <x v="0"/>
    <d v="2014-07-05T00:00:00"/>
    <s v="Shipping Company B"/>
    <s v="Thomas Axerr"/>
    <s v="123 3rd Street"/>
    <x v="4"/>
    <s v="CA"/>
    <n v="99999"/>
    <s v="USA"/>
    <s v="Cash"/>
    <s v="Syrup"/>
    <x v="7"/>
    <n v="10"/>
    <n v="99"/>
    <x v="82"/>
    <n v="95.039999999999992"/>
  </r>
  <r>
    <n v="1210"/>
    <x v="82"/>
    <n v="3"/>
    <x v="5"/>
    <s v="123 3rd Street"/>
    <x v="4"/>
    <x v="4"/>
    <n v="99999"/>
    <s v="USA"/>
    <x v="0"/>
    <x v="0"/>
    <d v="2014-07-05T00:00:00"/>
    <s v="Shipping Company B"/>
    <s v="Thomas Axerr"/>
    <s v="123 3rd Street"/>
    <x v="4"/>
    <s v="CA"/>
    <n v="99999"/>
    <s v="USA"/>
    <s v="Cash"/>
    <s v="Curry Sauce"/>
    <x v="5"/>
    <n v="40"/>
    <n v="10"/>
    <x v="167"/>
    <n v="40"/>
  </r>
  <r>
    <n v="1214"/>
    <x v="83"/>
    <n v="10"/>
    <x v="8"/>
    <s v="123 10th Street"/>
    <x v="7"/>
    <x v="7"/>
    <n v="99999"/>
    <s v="USA"/>
    <x v="6"/>
    <x v="1"/>
    <d v="2014-07-12T00:00:00"/>
    <s v="Shipping Company B"/>
    <s v="Roland Wacker"/>
    <s v="123 10th Street"/>
    <x v="7"/>
    <s v="IL"/>
    <n v="99999"/>
    <s v="USA"/>
    <s v="Credit Card"/>
    <s v="Almonds"/>
    <x v="1"/>
    <n v="10"/>
    <n v="80"/>
    <x v="168"/>
    <n v="77.599999999999994"/>
  </r>
  <r>
    <n v="1216"/>
    <x v="83"/>
    <n v="10"/>
    <x v="8"/>
    <s v="123 10th Street"/>
    <x v="7"/>
    <x v="7"/>
    <n v="99999"/>
    <s v="USA"/>
    <x v="6"/>
    <x v="1"/>
    <m/>
    <s v="Shipping Company A"/>
    <s v="Roland Wacker"/>
    <s v="123 10th Street"/>
    <x v="7"/>
    <s v="IL"/>
    <n v="99999"/>
    <s v="USA"/>
    <m/>
    <s v="Dried Plums"/>
    <x v="1"/>
    <n v="3.5"/>
    <n v="27"/>
    <x v="169"/>
    <n v="9.072000000000001"/>
  </r>
  <r>
    <n v="1217"/>
    <x v="84"/>
    <n v="11"/>
    <x v="10"/>
    <s v="123 11th Street"/>
    <x v="9"/>
    <x v="9"/>
    <n v="99999"/>
    <s v="USA"/>
    <x v="5"/>
    <x v="3"/>
    <m/>
    <s v="Shipping Company C"/>
    <s v="Peter Krschne"/>
    <s v="123 11th Street"/>
    <x v="9"/>
    <s v="FL"/>
    <n v="99999"/>
    <s v="USA"/>
    <m/>
    <s v="Curry Sauce"/>
    <x v="5"/>
    <n v="40"/>
    <n v="97"/>
    <x v="170"/>
    <n v="380.24"/>
  </r>
  <r>
    <n v="1218"/>
    <x v="73"/>
    <n v="1"/>
    <x v="11"/>
    <s v="123 1st Street"/>
    <x v="10"/>
    <x v="10"/>
    <n v="99999"/>
    <s v="USA"/>
    <x v="2"/>
    <x v="2"/>
    <m/>
    <s v="Shipping Company C"/>
    <s v="Anna Bedecs"/>
    <s v="123 1st Street"/>
    <x v="10"/>
    <s v="WA"/>
    <n v="99999"/>
    <s v="USA"/>
    <m/>
    <s v="Crab Meat"/>
    <x v="8"/>
    <n v="18.399999999999999"/>
    <n v="42"/>
    <x v="171"/>
    <n v="80.371200000000002"/>
  </r>
  <r>
    <n v="1219"/>
    <x v="74"/>
    <n v="28"/>
    <x v="7"/>
    <s v="789 28th Street"/>
    <x v="6"/>
    <x v="6"/>
    <n v="99999"/>
    <s v="USA"/>
    <x v="5"/>
    <x v="3"/>
    <n v="41850"/>
    <s v="Shipping Company C"/>
    <s v="Amritansh Raghav"/>
    <s v="789 28th Street"/>
    <x v="6"/>
    <s v="TN"/>
    <n v="99999"/>
    <s v="USA"/>
    <s v="Credit Card"/>
    <s v="Coffee"/>
    <x v="0"/>
    <n v="46"/>
    <n v="24"/>
    <x v="15"/>
    <n v="105.98399999999999"/>
  </r>
  <r>
    <n v="1220"/>
    <x v="75"/>
    <n v="9"/>
    <x v="12"/>
    <s v="123 9th Street"/>
    <x v="11"/>
    <x v="11"/>
    <n v="99999"/>
    <s v="USA"/>
    <x v="7"/>
    <x v="0"/>
    <d v="2014-07-11T00:00:00"/>
    <s v="Shipping Company A"/>
    <s v="Sven Mortensen"/>
    <s v="123 9th Street"/>
    <x v="11"/>
    <s v="UT"/>
    <n v="99999"/>
    <s v="USA"/>
    <s v="Check"/>
    <s v="Clam Chowder"/>
    <x v="4"/>
    <n v="9.65"/>
    <n v="90"/>
    <x v="172"/>
    <n v="83.376000000000005"/>
  </r>
  <r>
    <n v="1221"/>
    <x v="76"/>
    <n v="6"/>
    <x v="6"/>
    <s v="123 6th Street"/>
    <x v="5"/>
    <x v="5"/>
    <n v="99999"/>
    <s v="USA"/>
    <x v="4"/>
    <x v="2"/>
    <d v="2014-07-08T00:00:00"/>
    <s v="Shipping Company B"/>
    <s v="Francisco Pérez-Olaeta"/>
    <s v="123 6th Street"/>
    <x v="5"/>
    <s v="WI"/>
    <n v="99999"/>
    <s v="USA"/>
    <s v="Credit Card"/>
    <s v="Chocolate"/>
    <x v="3"/>
    <n v="12.75"/>
    <n v="28"/>
    <x v="173"/>
    <n v="35.700000000000003"/>
  </r>
  <r>
    <n v="1222"/>
    <x v="85"/>
    <n v="28"/>
    <x v="7"/>
    <s v="789 28th Street"/>
    <x v="6"/>
    <x v="6"/>
    <n v="99999"/>
    <s v="USA"/>
    <x v="5"/>
    <x v="3"/>
    <d v="2014-08-30T00:00:00"/>
    <s v="Shipping Company C"/>
    <s v="Amritansh Raghav"/>
    <s v="789 28th Street"/>
    <x v="6"/>
    <s v="TN"/>
    <n v="99999"/>
    <s v="USA"/>
    <s v="Check"/>
    <s v="Coffee"/>
    <x v="0"/>
    <n v="46"/>
    <n v="28"/>
    <x v="174"/>
    <n v="133.95200000000003"/>
  </r>
  <r>
    <n v="1223"/>
    <x v="86"/>
    <n v="8"/>
    <x v="3"/>
    <s v="123 8th Street"/>
    <x v="2"/>
    <x v="2"/>
    <n v="99999"/>
    <s v="USA"/>
    <x v="2"/>
    <x v="2"/>
    <d v="2014-08-10T00:00:00"/>
    <s v="Shipping Company C"/>
    <s v="Elizabeth Andersen"/>
    <s v="123 8th Street"/>
    <x v="2"/>
    <s v="OR"/>
    <n v="99999"/>
    <s v="USA"/>
    <s v="Check"/>
    <s v="Chocolate"/>
    <x v="3"/>
    <n v="12.75"/>
    <n v="57"/>
    <x v="175"/>
    <n v="69.768000000000001"/>
  </r>
  <r>
    <n v="1224"/>
    <x v="87"/>
    <n v="10"/>
    <x v="8"/>
    <s v="123 10th Street"/>
    <x v="7"/>
    <x v="7"/>
    <n v="99999"/>
    <s v="USA"/>
    <x v="6"/>
    <x v="1"/>
    <d v="2014-08-12T00:00:00"/>
    <s v="Shipping Company B"/>
    <s v="Roland Wacker"/>
    <s v="123 10th Street"/>
    <x v="7"/>
    <s v="IL"/>
    <n v="99999"/>
    <s v="USA"/>
    <s v="Credit Card"/>
    <s v="Green Tea"/>
    <x v="0"/>
    <n v="2.99"/>
    <n v="23"/>
    <x v="176"/>
    <n v="6.6706900000000013"/>
  </r>
  <r>
    <n v="1225"/>
    <x v="88"/>
    <n v="7"/>
    <x v="9"/>
    <s v="123 7th Street"/>
    <x v="8"/>
    <x v="8"/>
    <n v="99999"/>
    <s v="USA"/>
    <x v="2"/>
    <x v="2"/>
    <m/>
    <m/>
    <s v="Ming-Yang Xie"/>
    <s v="123 7th Street"/>
    <x v="8"/>
    <s v="ID"/>
    <n v="99999"/>
    <s v="USA"/>
    <m/>
    <s v="Coffee"/>
    <x v="0"/>
    <n v="46"/>
    <n v="86"/>
    <x v="177"/>
    <n v="399.55600000000004"/>
  </r>
  <r>
    <n v="1226"/>
    <x v="87"/>
    <n v="10"/>
    <x v="8"/>
    <s v="123 10th Street"/>
    <x v="7"/>
    <x v="7"/>
    <n v="99999"/>
    <s v="USA"/>
    <x v="6"/>
    <x v="1"/>
    <d v="2014-08-12T00:00:00"/>
    <s v="Shipping Company A"/>
    <s v="Roland Wacker"/>
    <s v="123 10th Street"/>
    <x v="7"/>
    <s v="IL"/>
    <n v="99999"/>
    <s v="USA"/>
    <m/>
    <s v="Boysenberry Spread"/>
    <x v="6"/>
    <n v="25"/>
    <n v="47"/>
    <x v="178"/>
    <n v="116.325"/>
  </r>
  <r>
    <n v="1227"/>
    <x v="87"/>
    <n v="10"/>
    <x v="8"/>
    <s v="123 10th Street"/>
    <x v="7"/>
    <x v="7"/>
    <n v="99999"/>
    <s v="USA"/>
    <x v="6"/>
    <x v="1"/>
    <d v="2014-08-12T00:00:00"/>
    <s v="Shipping Company A"/>
    <s v="Roland Wacker"/>
    <s v="123 10th Street"/>
    <x v="7"/>
    <s v="IL"/>
    <n v="99999"/>
    <s v="USA"/>
    <m/>
    <s v="Cajun Seasoning"/>
    <x v="7"/>
    <n v="22"/>
    <n v="97"/>
    <x v="179"/>
    <n v="221.93600000000001"/>
  </r>
  <r>
    <n v="1228"/>
    <x v="87"/>
    <n v="10"/>
    <x v="8"/>
    <s v="123 10th Street"/>
    <x v="7"/>
    <x v="7"/>
    <n v="99999"/>
    <s v="USA"/>
    <x v="6"/>
    <x v="1"/>
    <d v="2014-08-12T00:00:00"/>
    <s v="Shipping Company A"/>
    <s v="Roland Wacker"/>
    <s v="123 10th Street"/>
    <x v="7"/>
    <s v="IL"/>
    <n v="99999"/>
    <s v="USA"/>
    <m/>
    <s v="Chocolate Biscuits Mix"/>
    <x v="2"/>
    <n v="9.1999999999999993"/>
    <n v="96"/>
    <x v="180"/>
    <n v="86.553599999999989"/>
  </r>
  <r>
    <n v="1229"/>
    <x v="89"/>
    <n v="11"/>
    <x v="10"/>
    <s v="123 11th Street"/>
    <x v="9"/>
    <x v="9"/>
    <n v="99999"/>
    <s v="USA"/>
    <x v="5"/>
    <x v="3"/>
    <m/>
    <s v="Shipping Company C"/>
    <s v="Peter Krschne"/>
    <s v="123 11th Street"/>
    <x v="9"/>
    <s v="FL"/>
    <n v="99999"/>
    <s v="USA"/>
    <m/>
    <s v="Dried Plums"/>
    <x v="1"/>
    <n v="3.5"/>
    <n v="31"/>
    <x v="181"/>
    <n v="10.850000000000001"/>
  </r>
  <r>
    <n v="1230"/>
    <x v="89"/>
    <n v="11"/>
    <x v="10"/>
    <s v="123 11th Street"/>
    <x v="9"/>
    <x v="9"/>
    <n v="99999"/>
    <s v="USA"/>
    <x v="5"/>
    <x v="3"/>
    <m/>
    <s v="Shipping Company C"/>
    <s v="Peter Krschne"/>
    <s v="123 11th Street"/>
    <x v="9"/>
    <s v="FL"/>
    <n v="99999"/>
    <s v="USA"/>
    <m/>
    <s v="Green Tea"/>
    <x v="0"/>
    <n v="2.99"/>
    <n v="52"/>
    <x v="182"/>
    <n v="16.014440000000004"/>
  </r>
  <r>
    <n v="1231"/>
    <x v="90"/>
    <n v="1"/>
    <x v="11"/>
    <s v="123 1st Street"/>
    <x v="10"/>
    <x v="10"/>
    <n v="99999"/>
    <s v="USA"/>
    <x v="2"/>
    <x v="2"/>
    <m/>
    <m/>
    <s v="Anna Bedecs"/>
    <s v="123 1st Street"/>
    <x v="10"/>
    <s v="WA"/>
    <n v="99999"/>
    <s v="USA"/>
    <m/>
    <s v="Chai"/>
    <x v="0"/>
    <n v="18"/>
    <n v="91"/>
    <x v="183"/>
    <n v="158.886"/>
  </r>
  <r>
    <n v="1232"/>
    <x v="90"/>
    <n v="1"/>
    <x v="11"/>
    <s v="123 1st Street"/>
    <x v="10"/>
    <x v="10"/>
    <n v="99999"/>
    <s v="USA"/>
    <x v="2"/>
    <x v="2"/>
    <m/>
    <m/>
    <s v="Anna Bedecs"/>
    <s v="123 1st Street"/>
    <x v="10"/>
    <s v="WA"/>
    <n v="99999"/>
    <s v="USA"/>
    <m/>
    <s v="Coffee"/>
    <x v="0"/>
    <n v="46"/>
    <n v="14"/>
    <x v="184"/>
    <n v="63.756000000000007"/>
  </r>
  <r>
    <n v="1233"/>
    <x v="90"/>
    <n v="1"/>
    <x v="11"/>
    <s v="123 1st Street"/>
    <x v="10"/>
    <x v="10"/>
    <n v="99999"/>
    <s v="USA"/>
    <x v="2"/>
    <x v="2"/>
    <m/>
    <m/>
    <s v="Anna Bedecs"/>
    <s v="123 1st Street"/>
    <x v="10"/>
    <s v="WA"/>
    <n v="99999"/>
    <s v="USA"/>
    <m/>
    <s v="Green Tea"/>
    <x v="0"/>
    <n v="2.99"/>
    <n v="44"/>
    <x v="185"/>
    <n v="13.287560000000001"/>
  </r>
  <r>
    <n v="1234"/>
    <x v="85"/>
    <n v="28"/>
    <x v="7"/>
    <s v="789 28th Street"/>
    <x v="6"/>
    <x v="6"/>
    <n v="99999"/>
    <s v="USA"/>
    <x v="5"/>
    <x v="3"/>
    <d v="2014-08-30T00:00:00"/>
    <s v="Shipping Company C"/>
    <s v="Amritansh Raghav"/>
    <s v="789 28th Street"/>
    <x v="6"/>
    <s v="TN"/>
    <n v="99999"/>
    <s v="USA"/>
    <s v="Credit Card"/>
    <s v="Clam Chowder"/>
    <x v="4"/>
    <n v="9.65"/>
    <n v="97"/>
    <x v="53"/>
    <n v="95.477100000000021"/>
  </r>
  <r>
    <n v="1235"/>
    <x v="85"/>
    <n v="28"/>
    <x v="7"/>
    <s v="789 28th Street"/>
    <x v="6"/>
    <x v="6"/>
    <n v="99999"/>
    <s v="USA"/>
    <x v="5"/>
    <x v="3"/>
    <d v="2014-08-30T00:00:00"/>
    <s v="Shipping Company C"/>
    <s v="Amritansh Raghav"/>
    <s v="789 28th Street"/>
    <x v="6"/>
    <s v="TN"/>
    <n v="99999"/>
    <s v="USA"/>
    <s v="Credit Card"/>
    <s v="Crab Meat"/>
    <x v="8"/>
    <n v="18.399999999999999"/>
    <n v="80"/>
    <x v="36"/>
    <n v="150.14400000000003"/>
  </r>
  <r>
    <n v="1236"/>
    <x v="91"/>
    <n v="9"/>
    <x v="12"/>
    <s v="123 9th Street"/>
    <x v="11"/>
    <x v="11"/>
    <n v="99999"/>
    <s v="USA"/>
    <x v="7"/>
    <x v="0"/>
    <d v="2014-08-11T00:00:00"/>
    <s v="Shipping Company A"/>
    <s v="Sven Mortensen"/>
    <s v="123 9th Street"/>
    <x v="11"/>
    <s v="UT"/>
    <n v="99999"/>
    <s v="USA"/>
    <s v="Check"/>
    <s v="Ravioli"/>
    <x v="9"/>
    <n v="19.5"/>
    <n v="66"/>
    <x v="186"/>
    <n v="132.56100000000001"/>
  </r>
  <r>
    <n v="1237"/>
    <x v="91"/>
    <n v="9"/>
    <x v="12"/>
    <s v="123 9th Street"/>
    <x v="11"/>
    <x v="11"/>
    <n v="99999"/>
    <s v="USA"/>
    <x v="7"/>
    <x v="0"/>
    <d v="2014-08-11T00:00:00"/>
    <s v="Shipping Company A"/>
    <s v="Sven Mortensen"/>
    <s v="123 9th Street"/>
    <x v="11"/>
    <s v="UT"/>
    <n v="99999"/>
    <s v="USA"/>
    <s v="Check"/>
    <s v="Mozzarella"/>
    <x v="10"/>
    <n v="34.799999999999997"/>
    <n v="32"/>
    <x v="187"/>
    <n v="111.36"/>
  </r>
  <r>
    <n v="1238"/>
    <x v="92"/>
    <n v="6"/>
    <x v="6"/>
    <s v="123 6th Street"/>
    <x v="5"/>
    <x v="5"/>
    <n v="99999"/>
    <s v="USA"/>
    <x v="4"/>
    <x v="2"/>
    <d v="2014-08-08T00:00:00"/>
    <s v="Shipping Company B"/>
    <s v="Francisco Pérez-Olaeta"/>
    <s v="123 6th Street"/>
    <x v="5"/>
    <s v="WI"/>
    <n v="99999"/>
    <s v="USA"/>
    <s v="Credit Card"/>
    <s v="Beer"/>
    <x v="0"/>
    <n v="14"/>
    <n v="52"/>
    <x v="188"/>
    <n v="72.8"/>
  </r>
  <r>
    <n v="1239"/>
    <x v="86"/>
    <n v="8"/>
    <x v="3"/>
    <s v="123 8th Street"/>
    <x v="2"/>
    <x v="2"/>
    <n v="99999"/>
    <s v="USA"/>
    <x v="2"/>
    <x v="2"/>
    <d v="2014-08-10T00:00:00"/>
    <s v="Shipping Company B"/>
    <s v="Elizabeth Andersen"/>
    <s v="123 8th Street"/>
    <x v="2"/>
    <s v="OR"/>
    <n v="99999"/>
    <s v="USA"/>
    <s v="Check"/>
    <s v="Curry Sauce"/>
    <x v="5"/>
    <n v="40"/>
    <n v="78"/>
    <x v="189"/>
    <n v="318.24"/>
  </r>
  <r>
    <n v="1240"/>
    <x v="86"/>
    <n v="8"/>
    <x v="3"/>
    <s v="123 8th Street"/>
    <x v="2"/>
    <x v="2"/>
    <n v="99999"/>
    <s v="USA"/>
    <x v="2"/>
    <x v="2"/>
    <d v="2014-08-10T00:00:00"/>
    <s v="Shipping Company B"/>
    <s v="Elizabeth Andersen"/>
    <s v="123 8th Street"/>
    <x v="2"/>
    <s v="OR"/>
    <n v="99999"/>
    <s v="USA"/>
    <s v="Check"/>
    <s v="Chocolate Biscuits Mix"/>
    <x v="2"/>
    <n v="9.1999999999999993"/>
    <n v="54"/>
    <x v="190"/>
    <n v="49.183199999999999"/>
  </r>
  <r>
    <n v="1241"/>
    <x v="93"/>
    <n v="25"/>
    <x v="13"/>
    <s v="789 25th Street"/>
    <x v="7"/>
    <x v="7"/>
    <n v="99999"/>
    <s v="USA"/>
    <x v="6"/>
    <x v="1"/>
    <d v="2014-08-27T00:00:00"/>
    <s v="Shipping Company A"/>
    <s v="John Rodman"/>
    <s v="789 25th Street"/>
    <x v="7"/>
    <s v="IL"/>
    <n v="99999"/>
    <s v="USA"/>
    <s v="Cash"/>
    <s v="Scones"/>
    <x v="2"/>
    <n v="10"/>
    <n v="55"/>
    <x v="62"/>
    <n v="52.25"/>
  </r>
  <r>
    <n v="1242"/>
    <x v="94"/>
    <n v="26"/>
    <x v="14"/>
    <s v="789 26th Street"/>
    <x v="9"/>
    <x v="9"/>
    <n v="99999"/>
    <s v="USA"/>
    <x v="5"/>
    <x v="3"/>
    <d v="2014-08-28T00:00:00"/>
    <s v="Shipping Company C"/>
    <s v="Run Liu"/>
    <s v="789 26th Street"/>
    <x v="9"/>
    <s v="FL"/>
    <n v="99999"/>
    <s v="USA"/>
    <s v="Credit Card"/>
    <s v="Olive Oil"/>
    <x v="13"/>
    <n v="21.35"/>
    <n v="60"/>
    <x v="191"/>
    <n v="129.381"/>
  </r>
  <r>
    <n v="1243"/>
    <x v="94"/>
    <n v="26"/>
    <x v="14"/>
    <s v="789 26th Street"/>
    <x v="9"/>
    <x v="9"/>
    <n v="99999"/>
    <s v="USA"/>
    <x v="5"/>
    <x v="3"/>
    <d v="2014-08-28T00:00:00"/>
    <s v="Shipping Company C"/>
    <s v="Run Liu"/>
    <s v="789 26th Street"/>
    <x v="9"/>
    <s v="FL"/>
    <n v="99999"/>
    <s v="USA"/>
    <s v="Credit Card"/>
    <s v="Clam Chowder"/>
    <x v="4"/>
    <n v="9.65"/>
    <n v="19"/>
    <x v="192"/>
    <n v="17.41825"/>
  </r>
  <r>
    <n v="1244"/>
    <x v="94"/>
    <n v="26"/>
    <x v="14"/>
    <s v="789 26th Street"/>
    <x v="9"/>
    <x v="9"/>
    <n v="99999"/>
    <s v="USA"/>
    <x v="5"/>
    <x v="3"/>
    <d v="2014-08-28T00:00:00"/>
    <s v="Shipping Company C"/>
    <s v="Run Liu"/>
    <s v="789 26th Street"/>
    <x v="9"/>
    <s v="FL"/>
    <n v="99999"/>
    <s v="USA"/>
    <s v="Credit Card"/>
    <s v="Crab Meat"/>
    <x v="8"/>
    <n v="18.399999999999999"/>
    <n v="66"/>
    <x v="193"/>
    <n v="125.08320000000001"/>
  </r>
  <r>
    <n v="1245"/>
    <x v="95"/>
    <n v="29"/>
    <x v="4"/>
    <s v="789 29th Street"/>
    <x v="3"/>
    <x v="3"/>
    <n v="99999"/>
    <s v="USA"/>
    <x v="3"/>
    <x v="0"/>
    <d v="2014-08-31T00:00:00"/>
    <s v="Shipping Company B"/>
    <s v="Soo Jung Lee"/>
    <s v="789 29th Street"/>
    <x v="3"/>
    <s v="CO"/>
    <n v="99999"/>
    <s v="USA"/>
    <s v="Check"/>
    <s v="Beer"/>
    <x v="0"/>
    <n v="14"/>
    <n v="42"/>
    <x v="194"/>
    <n v="59.388000000000005"/>
  </r>
  <r>
    <n v="1246"/>
    <x v="92"/>
    <n v="6"/>
    <x v="6"/>
    <s v="123 6th Street"/>
    <x v="5"/>
    <x v="5"/>
    <n v="99999"/>
    <s v="USA"/>
    <x v="4"/>
    <x v="2"/>
    <n v="41859"/>
    <s v="Shipping Company C"/>
    <s v="Francisco Pérez-Olaeta"/>
    <s v="123 6th Street"/>
    <x v="5"/>
    <s v="WI"/>
    <n v="99999"/>
    <s v="USA"/>
    <s v="Check"/>
    <s v="Chocolate"/>
    <x v="3"/>
    <n v="12.75"/>
    <n v="72"/>
    <x v="195"/>
    <n v="89.046000000000006"/>
  </r>
  <r>
    <n v="1248"/>
    <x v="96"/>
    <n v="4"/>
    <x v="1"/>
    <s v="123 4th Street"/>
    <x v="1"/>
    <x v="1"/>
    <n v="99999"/>
    <s v="USA"/>
    <x v="1"/>
    <x v="1"/>
    <n v="41857"/>
    <s v="Shipping Company A"/>
    <s v="Christina Lee"/>
    <s v="123 4th Street"/>
    <x v="1"/>
    <s v="NY"/>
    <n v="99999"/>
    <s v="USA"/>
    <s v="Credit Card"/>
    <s v="Marmalade"/>
    <x v="6"/>
    <n v="81"/>
    <n v="32"/>
    <x v="196"/>
    <n v="251.42399999999998"/>
  </r>
  <r>
    <n v="1249"/>
    <x v="96"/>
    <n v="4"/>
    <x v="1"/>
    <s v="123 4th Street"/>
    <x v="1"/>
    <x v="1"/>
    <n v="99999"/>
    <s v="USA"/>
    <x v="1"/>
    <x v="1"/>
    <n v="41857"/>
    <s v="Shipping Company A"/>
    <s v="Christina Lee"/>
    <s v="123 4th Street"/>
    <x v="1"/>
    <s v="NY"/>
    <n v="99999"/>
    <s v="USA"/>
    <s v="Credit Card"/>
    <s v="Long Grain Rice"/>
    <x v="14"/>
    <n v="7"/>
    <n v="76"/>
    <x v="197"/>
    <n v="53.732000000000006"/>
  </r>
  <r>
    <n v="1250"/>
    <x v="97"/>
    <n v="10"/>
    <x v="8"/>
    <s v="123 10th Street"/>
    <x v="7"/>
    <x v="7"/>
    <n v="99999"/>
    <s v="USA"/>
    <x v="6"/>
    <x v="1"/>
    <n v="41894"/>
    <s v="Shipping Company A"/>
    <s v="Roland Wacker"/>
    <s v="123 10th Street"/>
    <x v="7"/>
    <s v="IL"/>
    <n v="99999"/>
    <s v="USA"/>
    <m/>
    <s v="Chocolate Biscuits Mix"/>
    <x v="2"/>
    <n v="9.1999999999999993"/>
    <n v="83"/>
    <x v="198"/>
    <n v="74.832799999999992"/>
  </r>
  <r>
    <n v="1251"/>
    <x v="98"/>
    <n v="11"/>
    <x v="10"/>
    <s v="123 11th Street"/>
    <x v="9"/>
    <x v="9"/>
    <n v="99999"/>
    <s v="USA"/>
    <x v="5"/>
    <x v="3"/>
    <m/>
    <s v="Shipping Company C"/>
    <s v="Peter Krschne"/>
    <s v="123 11th Street"/>
    <x v="9"/>
    <s v="FL"/>
    <n v="99999"/>
    <s v="USA"/>
    <m/>
    <s v="Dried Plums"/>
    <x v="1"/>
    <n v="3.5"/>
    <n v="91"/>
    <x v="199"/>
    <n v="31.213000000000001"/>
  </r>
  <r>
    <n v="1252"/>
    <x v="98"/>
    <n v="11"/>
    <x v="10"/>
    <s v="123 11th Street"/>
    <x v="9"/>
    <x v="9"/>
    <n v="99999"/>
    <s v="USA"/>
    <x v="5"/>
    <x v="3"/>
    <m/>
    <s v="Shipping Company C"/>
    <s v="Peter Krschne"/>
    <s v="123 11th Street"/>
    <x v="9"/>
    <s v="FL"/>
    <n v="99999"/>
    <s v="USA"/>
    <m/>
    <s v="Green Tea"/>
    <x v="0"/>
    <n v="2.99"/>
    <n v="64"/>
    <x v="200"/>
    <n v="19.518720000000002"/>
  </r>
  <r>
    <n v="1253"/>
    <x v="99"/>
    <n v="1"/>
    <x v="11"/>
    <s v="123 1st Street"/>
    <x v="10"/>
    <x v="10"/>
    <n v="99999"/>
    <s v="USA"/>
    <x v="2"/>
    <x v="2"/>
    <m/>
    <m/>
    <s v="Anna Bedecs"/>
    <s v="123 1st Street"/>
    <x v="10"/>
    <s v="WA"/>
    <n v="99999"/>
    <s v="USA"/>
    <m/>
    <s v="Chai"/>
    <x v="0"/>
    <n v="18"/>
    <n v="58"/>
    <x v="137"/>
    <n v="103.35600000000001"/>
  </r>
  <r>
    <n v="1254"/>
    <x v="99"/>
    <n v="1"/>
    <x v="11"/>
    <s v="123 1st Street"/>
    <x v="10"/>
    <x v="10"/>
    <n v="99999"/>
    <s v="USA"/>
    <x v="2"/>
    <x v="2"/>
    <m/>
    <m/>
    <s v="Anna Bedecs"/>
    <s v="123 1st Street"/>
    <x v="10"/>
    <s v="WA"/>
    <n v="99999"/>
    <s v="USA"/>
    <m/>
    <s v="Coffee"/>
    <x v="0"/>
    <n v="46"/>
    <n v="97"/>
    <x v="201"/>
    <n v="464.04800000000006"/>
  </r>
  <r>
    <n v="1255"/>
    <x v="99"/>
    <n v="1"/>
    <x v="11"/>
    <s v="123 1st Street"/>
    <x v="10"/>
    <x v="10"/>
    <n v="99999"/>
    <s v="USA"/>
    <x v="2"/>
    <x v="2"/>
    <m/>
    <m/>
    <s v="Anna Bedecs"/>
    <s v="123 1st Street"/>
    <x v="10"/>
    <s v="WA"/>
    <n v="99999"/>
    <s v="USA"/>
    <m/>
    <s v="Green Tea"/>
    <x v="0"/>
    <n v="2.99"/>
    <n v="14"/>
    <x v="202"/>
    <n v="4.35344"/>
  </r>
  <r>
    <n v="1256"/>
    <x v="100"/>
    <n v="28"/>
    <x v="7"/>
    <s v="789 28th Street"/>
    <x v="6"/>
    <x v="6"/>
    <n v="99999"/>
    <s v="USA"/>
    <x v="5"/>
    <x v="3"/>
    <d v="2014-09-30T00:00:00"/>
    <s v="Shipping Company C"/>
    <s v="Amritansh Raghav"/>
    <s v="789 28th Street"/>
    <x v="6"/>
    <s v="TN"/>
    <n v="99999"/>
    <s v="USA"/>
    <s v="Credit Card"/>
    <s v="Clam Chowder"/>
    <x v="4"/>
    <n v="9.65"/>
    <n v="68"/>
    <x v="203"/>
    <n v="64.307600000000008"/>
  </r>
  <r>
    <n v="1257"/>
    <x v="100"/>
    <n v="28"/>
    <x v="7"/>
    <s v="789 28th Street"/>
    <x v="6"/>
    <x v="6"/>
    <n v="99999"/>
    <s v="USA"/>
    <x v="5"/>
    <x v="3"/>
    <n v="41912"/>
    <s v="Shipping Company C"/>
    <s v="Amritansh Raghav"/>
    <s v="789 28th Street"/>
    <x v="6"/>
    <s v="TN"/>
    <n v="99999"/>
    <s v="USA"/>
    <s v="Credit Card"/>
    <s v="Crab Meat"/>
    <x v="8"/>
    <n v="18.399999999999999"/>
    <n v="32"/>
    <x v="204"/>
    <n v="58.879999999999995"/>
  </r>
  <r>
    <n v="1258"/>
    <x v="101"/>
    <n v="9"/>
    <x v="12"/>
    <s v="123 9th Street"/>
    <x v="11"/>
    <x v="11"/>
    <n v="99999"/>
    <s v="USA"/>
    <x v="7"/>
    <x v="0"/>
    <d v="2014-09-11T00:00:00"/>
    <s v="Shipping Company A"/>
    <s v="Sven Mortensen"/>
    <s v="123 9th Street"/>
    <x v="11"/>
    <s v="UT"/>
    <n v="99999"/>
    <s v="USA"/>
    <s v="Check"/>
    <s v="Ravioli"/>
    <x v="9"/>
    <n v="19.5"/>
    <n v="48"/>
    <x v="205"/>
    <n v="94.536000000000016"/>
  </r>
  <r>
    <n v="1259"/>
    <x v="101"/>
    <n v="9"/>
    <x v="12"/>
    <s v="123 9th Street"/>
    <x v="11"/>
    <x v="11"/>
    <n v="99999"/>
    <s v="USA"/>
    <x v="7"/>
    <x v="0"/>
    <d v="2014-09-11T00:00:00"/>
    <s v="Shipping Company A"/>
    <s v="Sven Mortensen"/>
    <s v="123 9th Street"/>
    <x v="11"/>
    <s v="UT"/>
    <n v="99999"/>
    <s v="USA"/>
    <s v="Check"/>
    <s v="Mozzarella"/>
    <x v="10"/>
    <n v="34.799999999999997"/>
    <n v="57"/>
    <x v="206"/>
    <n v="194.39280000000002"/>
  </r>
  <r>
    <n v="1260"/>
    <x v="102"/>
    <n v="6"/>
    <x v="6"/>
    <s v="123 6th Street"/>
    <x v="5"/>
    <x v="5"/>
    <n v="99999"/>
    <s v="USA"/>
    <x v="4"/>
    <x v="2"/>
    <d v="2014-09-08T00:00:00"/>
    <s v="Shipping Company B"/>
    <s v="Francisco Pérez-Olaeta"/>
    <s v="123 6th Street"/>
    <x v="5"/>
    <s v="WI"/>
    <n v="99999"/>
    <s v="USA"/>
    <s v="Credit Card"/>
    <s v="Beer"/>
    <x v="0"/>
    <n v="14"/>
    <n v="67"/>
    <x v="207"/>
    <n v="98.490000000000009"/>
  </r>
  <r>
    <n v="1261"/>
    <x v="103"/>
    <n v="8"/>
    <x v="3"/>
    <s v="123 8th Street"/>
    <x v="2"/>
    <x v="2"/>
    <n v="99999"/>
    <s v="USA"/>
    <x v="2"/>
    <x v="2"/>
    <n v="41892"/>
    <s v="Shipping Company B"/>
    <s v="Elizabeth Andersen"/>
    <s v="123 8th Street"/>
    <x v="2"/>
    <s v="OR"/>
    <n v="99999"/>
    <s v="USA"/>
    <s v="Check"/>
    <s v="Curry Sauce"/>
    <x v="5"/>
    <n v="40"/>
    <n v="48"/>
    <x v="208"/>
    <n v="188.16"/>
  </r>
  <r>
    <n v="1262"/>
    <x v="103"/>
    <n v="8"/>
    <x v="3"/>
    <s v="123 8th Street"/>
    <x v="2"/>
    <x v="2"/>
    <n v="99999"/>
    <s v="USA"/>
    <x v="2"/>
    <x v="2"/>
    <n v="41892"/>
    <s v="Shipping Company B"/>
    <s v="Elizabeth Andersen"/>
    <s v="123 8th Street"/>
    <x v="2"/>
    <s v="OR"/>
    <n v="99999"/>
    <s v="USA"/>
    <s v="Check"/>
    <s v="Chocolate Biscuits Mix"/>
    <x v="2"/>
    <n v="9.1999999999999993"/>
    <n v="77"/>
    <x v="209"/>
    <n v="72.256799999999998"/>
  </r>
  <r>
    <n v="1263"/>
    <x v="104"/>
    <n v="25"/>
    <x v="13"/>
    <s v="789 25th Street"/>
    <x v="7"/>
    <x v="7"/>
    <n v="99999"/>
    <s v="USA"/>
    <x v="6"/>
    <x v="1"/>
    <n v="41909"/>
    <s v="Shipping Company A"/>
    <s v="John Rodman"/>
    <s v="789 25th Street"/>
    <x v="7"/>
    <s v="IL"/>
    <n v="99999"/>
    <s v="USA"/>
    <s v="Cash"/>
    <s v="Scones"/>
    <x v="2"/>
    <n v="10"/>
    <n v="94"/>
    <x v="210"/>
    <n v="97.76"/>
  </r>
  <r>
    <n v="1264"/>
    <x v="105"/>
    <n v="26"/>
    <x v="14"/>
    <s v="789 26th Street"/>
    <x v="9"/>
    <x v="9"/>
    <n v="99999"/>
    <s v="USA"/>
    <x v="5"/>
    <x v="3"/>
    <n v="41910"/>
    <s v="Shipping Company C"/>
    <s v="Run Liu"/>
    <s v="789 26th Street"/>
    <x v="9"/>
    <s v="FL"/>
    <n v="99999"/>
    <s v="USA"/>
    <s v="Credit Card"/>
    <s v="Olive Oil"/>
    <x v="13"/>
    <n v="21.35"/>
    <n v="54"/>
    <x v="211"/>
    <n v="121.05450000000003"/>
  </r>
  <r>
    <n v="1265"/>
    <x v="105"/>
    <n v="26"/>
    <x v="14"/>
    <s v="789 26th Street"/>
    <x v="9"/>
    <x v="9"/>
    <n v="99999"/>
    <s v="USA"/>
    <x v="5"/>
    <x v="3"/>
    <n v="41910"/>
    <s v="Shipping Company C"/>
    <s v="Run Liu"/>
    <s v="789 26th Street"/>
    <x v="9"/>
    <s v="FL"/>
    <n v="99999"/>
    <s v="USA"/>
    <s v="Credit Card"/>
    <s v="Clam Chowder"/>
    <x v="4"/>
    <n v="9.65"/>
    <n v="43"/>
    <x v="84"/>
    <n v="40.250150000000005"/>
  </r>
  <r>
    <n v="1266"/>
    <x v="105"/>
    <n v="26"/>
    <x v="14"/>
    <s v="789 26th Street"/>
    <x v="9"/>
    <x v="9"/>
    <n v="99999"/>
    <s v="USA"/>
    <x v="5"/>
    <x v="3"/>
    <d v="2014-09-28T00:00:00"/>
    <s v="Shipping Company C"/>
    <s v="Run Liu"/>
    <s v="789 26th Street"/>
    <x v="9"/>
    <s v="FL"/>
    <n v="99999"/>
    <s v="USA"/>
    <s v="Credit Card"/>
    <s v="Crab Meat"/>
    <x v="8"/>
    <n v="18.399999999999999"/>
    <n v="71"/>
    <x v="143"/>
    <n v="134.55919999999998"/>
  </r>
  <r>
    <n v="1267"/>
    <x v="106"/>
    <n v="29"/>
    <x v="4"/>
    <s v="789 29th Street"/>
    <x v="3"/>
    <x v="3"/>
    <n v="99999"/>
    <s v="USA"/>
    <x v="3"/>
    <x v="0"/>
    <d v="2014-10-01T00:00:00"/>
    <s v="Shipping Company B"/>
    <s v="Soo Jung Lee"/>
    <s v="789 29th Street"/>
    <x v="3"/>
    <s v="CO"/>
    <n v="99999"/>
    <s v="USA"/>
    <s v="Check"/>
    <s v="Beer"/>
    <x v="0"/>
    <n v="14"/>
    <n v="50"/>
    <x v="212"/>
    <n v="67.2"/>
  </r>
  <r>
    <n v="1268"/>
    <x v="102"/>
    <n v="6"/>
    <x v="6"/>
    <s v="123 6th Street"/>
    <x v="5"/>
    <x v="5"/>
    <n v="99999"/>
    <s v="USA"/>
    <x v="4"/>
    <x v="2"/>
    <d v="2014-09-08T00:00:00"/>
    <s v="Shipping Company C"/>
    <s v="Francisco Pérez-Olaeta"/>
    <s v="123 6th Street"/>
    <x v="5"/>
    <s v="WI"/>
    <n v="99999"/>
    <s v="USA"/>
    <s v="Check"/>
    <s v="Chocolate"/>
    <x v="3"/>
    <n v="12.75"/>
    <n v="96"/>
    <x v="146"/>
    <n v="119.952"/>
  </r>
  <r>
    <n v="1270"/>
    <x v="107"/>
    <n v="4"/>
    <x v="1"/>
    <s v="123 4th Street"/>
    <x v="1"/>
    <x v="1"/>
    <n v="99999"/>
    <s v="USA"/>
    <x v="1"/>
    <x v="1"/>
    <d v="2014-09-06T00:00:00"/>
    <s v="Shipping Company A"/>
    <s v="Christina Lee"/>
    <s v="123 4th Street"/>
    <x v="1"/>
    <s v="NY"/>
    <n v="99999"/>
    <s v="USA"/>
    <s v="Credit Card"/>
    <s v="Marmalade"/>
    <x v="6"/>
    <n v="81"/>
    <n v="54"/>
    <x v="213"/>
    <n v="437.40000000000003"/>
  </r>
  <r>
    <n v="1271"/>
    <x v="107"/>
    <n v="4"/>
    <x v="1"/>
    <s v="123 4th Street"/>
    <x v="1"/>
    <x v="1"/>
    <n v="99999"/>
    <s v="USA"/>
    <x v="1"/>
    <x v="1"/>
    <d v="2014-09-06T00:00:00"/>
    <s v="Shipping Company A"/>
    <s v="Christina Lee"/>
    <s v="123 4th Street"/>
    <x v="1"/>
    <s v="NY"/>
    <n v="99999"/>
    <s v="USA"/>
    <s v="Credit Card"/>
    <s v="Long Grain Rice"/>
    <x v="14"/>
    <n v="7"/>
    <n v="39"/>
    <x v="214"/>
    <n v="27.3"/>
  </r>
  <r>
    <n v="1273"/>
    <x v="103"/>
    <n v="8"/>
    <x v="3"/>
    <s v="123 8th Street"/>
    <x v="2"/>
    <x v="2"/>
    <n v="99999"/>
    <s v="USA"/>
    <x v="2"/>
    <x v="2"/>
    <d v="2014-09-10T00:00:00"/>
    <s v="Shipping Company C"/>
    <s v="Elizabeth Andersen"/>
    <s v="123 8th Street"/>
    <x v="2"/>
    <s v="OR"/>
    <n v="99999"/>
    <s v="USA"/>
    <s v="Credit Card"/>
    <s v="Mozzarella"/>
    <x v="10"/>
    <n v="34.799999999999997"/>
    <n v="63"/>
    <x v="59"/>
    <n v="230.202"/>
  </r>
  <r>
    <n v="1276"/>
    <x v="108"/>
    <n v="3"/>
    <x v="5"/>
    <s v="123 3rd Street"/>
    <x v="4"/>
    <x v="4"/>
    <n v="99999"/>
    <s v="USA"/>
    <x v="0"/>
    <x v="0"/>
    <d v="2014-09-05T00:00:00"/>
    <s v="Shipping Company B"/>
    <s v="Thomas Axerr"/>
    <s v="123 3rd Street"/>
    <x v="4"/>
    <s v="CA"/>
    <n v="99999"/>
    <s v="USA"/>
    <s v="Cash"/>
    <s v="Syrup"/>
    <x v="7"/>
    <n v="10"/>
    <n v="71"/>
    <x v="215"/>
    <n v="73.13"/>
  </r>
  <r>
    <n v="1277"/>
    <x v="108"/>
    <n v="3"/>
    <x v="5"/>
    <s v="123 3rd Street"/>
    <x v="4"/>
    <x v="4"/>
    <n v="99999"/>
    <s v="USA"/>
    <x v="0"/>
    <x v="0"/>
    <d v="2014-09-05T00:00:00"/>
    <s v="Shipping Company B"/>
    <s v="Thomas Axerr"/>
    <s v="123 3rd Street"/>
    <x v="4"/>
    <s v="CA"/>
    <n v="99999"/>
    <s v="USA"/>
    <s v="Cash"/>
    <s v="Curry Sauce"/>
    <x v="5"/>
    <n v="40"/>
    <n v="88"/>
    <x v="216"/>
    <n v="366.08000000000004"/>
  </r>
  <r>
    <n v="1281"/>
    <x v="97"/>
    <n v="10"/>
    <x v="8"/>
    <s v="123 10th Street"/>
    <x v="7"/>
    <x v="7"/>
    <n v="99999"/>
    <s v="USA"/>
    <x v="6"/>
    <x v="1"/>
    <d v="2014-09-12T00:00:00"/>
    <s v="Shipping Company B"/>
    <s v="Roland Wacker"/>
    <s v="123 10th Street"/>
    <x v="7"/>
    <s v="IL"/>
    <n v="99999"/>
    <s v="USA"/>
    <s v="Credit Card"/>
    <s v="Almonds"/>
    <x v="1"/>
    <n v="10"/>
    <n v="59"/>
    <x v="217"/>
    <n v="59.59"/>
  </r>
  <r>
    <n v="1282"/>
    <x v="109"/>
    <n v="6"/>
    <x v="6"/>
    <s v="123 6th Street"/>
    <x v="5"/>
    <x v="5"/>
    <n v="99999"/>
    <s v="USA"/>
    <x v="4"/>
    <x v="2"/>
    <d v="2014-10-08T00:00:00"/>
    <s v="Shipping Company B"/>
    <s v="Francisco Pérez-Olaeta"/>
    <s v="123 6th Street"/>
    <x v="5"/>
    <s v="WI"/>
    <n v="99999"/>
    <s v="USA"/>
    <s v="Credit Card"/>
    <s v="Curry Sauce"/>
    <x v="5"/>
    <n v="40"/>
    <n v="94"/>
    <x v="218"/>
    <n v="376"/>
  </r>
  <r>
    <n v="1283"/>
    <x v="110"/>
    <n v="28"/>
    <x v="7"/>
    <s v="789 28th Street"/>
    <x v="6"/>
    <x v="6"/>
    <n v="99999"/>
    <s v="USA"/>
    <x v="5"/>
    <x v="3"/>
    <d v="2014-10-30T00:00:00"/>
    <s v="Shipping Company C"/>
    <s v="Amritansh Raghav"/>
    <s v="789 28th Street"/>
    <x v="6"/>
    <s v="TN"/>
    <n v="99999"/>
    <s v="USA"/>
    <s v="Check"/>
    <s v="Coffee"/>
    <x v="0"/>
    <n v="46"/>
    <n v="86"/>
    <x v="177"/>
    <n v="379.77600000000001"/>
  </r>
  <r>
    <n v="1284"/>
    <x v="111"/>
    <n v="8"/>
    <x v="3"/>
    <s v="123 8th Street"/>
    <x v="2"/>
    <x v="2"/>
    <n v="99999"/>
    <s v="USA"/>
    <x v="2"/>
    <x v="2"/>
    <d v="2014-10-10T00:00:00"/>
    <s v="Shipping Company C"/>
    <s v="Elizabeth Andersen"/>
    <s v="123 8th Street"/>
    <x v="2"/>
    <s v="OR"/>
    <n v="99999"/>
    <s v="USA"/>
    <s v="Check"/>
    <s v="Chocolate"/>
    <x v="3"/>
    <n v="12.75"/>
    <n v="61"/>
    <x v="219"/>
    <n v="78.552750000000003"/>
  </r>
  <r>
    <n v="1285"/>
    <x v="112"/>
    <n v="10"/>
    <x v="8"/>
    <s v="123 10th Street"/>
    <x v="7"/>
    <x v="7"/>
    <n v="99999"/>
    <s v="USA"/>
    <x v="6"/>
    <x v="1"/>
    <d v="2014-10-12T00:00:00"/>
    <s v="Shipping Company B"/>
    <s v="Roland Wacker"/>
    <s v="123 10th Street"/>
    <x v="7"/>
    <s v="IL"/>
    <n v="99999"/>
    <s v="USA"/>
    <s v="Credit Card"/>
    <s v="Green Tea"/>
    <x v="0"/>
    <n v="2.99"/>
    <n v="32"/>
    <x v="220"/>
    <n v="9.7593600000000009"/>
  </r>
  <r>
    <n v="1286"/>
    <x v="113"/>
    <n v="7"/>
    <x v="9"/>
    <s v="123 7th Street"/>
    <x v="8"/>
    <x v="8"/>
    <n v="99999"/>
    <s v="USA"/>
    <x v="2"/>
    <x v="2"/>
    <m/>
    <m/>
    <s v="Ming-Yang Xie"/>
    <s v="123 7th Street"/>
    <x v="8"/>
    <s v="ID"/>
    <n v="99999"/>
    <s v="USA"/>
    <m/>
    <s v="Coffee"/>
    <x v="0"/>
    <n v="46"/>
    <n v="62"/>
    <x v="221"/>
    <n v="290.904"/>
  </r>
  <r>
    <n v="1287"/>
    <x v="112"/>
    <n v="10"/>
    <x v="8"/>
    <s v="123 10th Street"/>
    <x v="7"/>
    <x v="7"/>
    <n v="99999"/>
    <s v="USA"/>
    <x v="6"/>
    <x v="1"/>
    <d v="2014-10-12T00:00:00"/>
    <s v="Shipping Company A"/>
    <s v="Roland Wacker"/>
    <s v="123 10th Street"/>
    <x v="7"/>
    <s v="IL"/>
    <n v="99999"/>
    <s v="USA"/>
    <m/>
    <s v="Boysenberry Spread"/>
    <x v="6"/>
    <n v="25"/>
    <n v="60"/>
    <x v="222"/>
    <n v="154.5"/>
  </r>
  <r>
    <n v="1288"/>
    <x v="112"/>
    <n v="10"/>
    <x v="8"/>
    <s v="123 10th Street"/>
    <x v="7"/>
    <x v="7"/>
    <n v="99999"/>
    <s v="USA"/>
    <x v="6"/>
    <x v="1"/>
    <d v="2014-10-12T00:00:00"/>
    <s v="Shipping Company A"/>
    <s v="Roland Wacker"/>
    <s v="123 10th Street"/>
    <x v="7"/>
    <s v="IL"/>
    <n v="99999"/>
    <s v="USA"/>
    <m/>
    <s v="Cajun Seasoning"/>
    <x v="7"/>
    <n v="22"/>
    <n v="51"/>
    <x v="223"/>
    <n v="109.956"/>
  </r>
  <r>
    <n v="1289"/>
    <x v="112"/>
    <n v="10"/>
    <x v="8"/>
    <s v="123 10th Street"/>
    <x v="7"/>
    <x v="7"/>
    <n v="99999"/>
    <s v="USA"/>
    <x v="6"/>
    <x v="1"/>
    <d v="2014-10-12T00:00:00"/>
    <s v="Shipping Company A"/>
    <s v="Roland Wacker"/>
    <s v="123 10th Street"/>
    <x v="7"/>
    <s v="IL"/>
    <n v="99999"/>
    <s v="USA"/>
    <m/>
    <s v="Chocolate Biscuits Mix"/>
    <x v="2"/>
    <n v="9.1999999999999993"/>
    <n v="49"/>
    <x v="224"/>
    <n v="44.629199999999997"/>
  </r>
  <r>
    <n v="1290"/>
    <x v="114"/>
    <n v="11"/>
    <x v="10"/>
    <s v="123 11th Street"/>
    <x v="9"/>
    <x v="9"/>
    <n v="99999"/>
    <s v="USA"/>
    <x v="5"/>
    <x v="3"/>
    <m/>
    <s v="Shipping Company C"/>
    <s v="Peter Krschne"/>
    <s v="123 11th Street"/>
    <x v="9"/>
    <s v="FL"/>
    <n v="99999"/>
    <s v="USA"/>
    <m/>
    <s v="Dried Plums"/>
    <x v="1"/>
    <n v="3.5"/>
    <n v="20"/>
    <x v="225"/>
    <n v="6.93"/>
  </r>
  <r>
    <n v="1291"/>
    <x v="114"/>
    <n v="11"/>
    <x v="10"/>
    <s v="123 11th Street"/>
    <x v="9"/>
    <x v="9"/>
    <n v="99999"/>
    <s v="USA"/>
    <x v="5"/>
    <x v="3"/>
    <m/>
    <s v="Shipping Company C"/>
    <s v="Peter Krschne"/>
    <s v="123 11th Street"/>
    <x v="9"/>
    <s v="FL"/>
    <n v="99999"/>
    <s v="USA"/>
    <m/>
    <s v="Green Tea"/>
    <x v="0"/>
    <n v="2.99"/>
    <n v="49"/>
    <x v="20"/>
    <n v="14.651000000000003"/>
  </r>
  <r>
    <n v="1292"/>
    <x v="115"/>
    <n v="1"/>
    <x v="11"/>
    <s v="123 1st Street"/>
    <x v="10"/>
    <x v="10"/>
    <n v="99999"/>
    <s v="USA"/>
    <x v="2"/>
    <x v="2"/>
    <m/>
    <m/>
    <s v="Anna Bedecs"/>
    <s v="123 1st Street"/>
    <x v="10"/>
    <s v="WA"/>
    <n v="99999"/>
    <s v="USA"/>
    <m/>
    <s v="Chai"/>
    <x v="0"/>
    <n v="18"/>
    <n v="22"/>
    <x v="226"/>
    <n v="38.015999999999998"/>
  </r>
  <r>
    <n v="1293"/>
    <x v="115"/>
    <n v="1"/>
    <x v="11"/>
    <s v="123 1st Street"/>
    <x v="10"/>
    <x v="10"/>
    <n v="99999"/>
    <s v="USA"/>
    <x v="2"/>
    <x v="2"/>
    <m/>
    <m/>
    <s v="Anna Bedecs"/>
    <s v="123 1st Street"/>
    <x v="10"/>
    <s v="WA"/>
    <n v="99999"/>
    <s v="USA"/>
    <m/>
    <s v="Coffee"/>
    <x v="0"/>
    <n v="46"/>
    <n v="73"/>
    <x v="227"/>
    <n v="339.15800000000002"/>
  </r>
  <r>
    <n v="1294"/>
    <x v="115"/>
    <n v="1"/>
    <x v="11"/>
    <s v="123 1st Street"/>
    <x v="10"/>
    <x v="10"/>
    <n v="99999"/>
    <s v="USA"/>
    <x v="2"/>
    <x v="2"/>
    <m/>
    <m/>
    <s v="Anna Bedecs"/>
    <s v="123 1st Street"/>
    <x v="10"/>
    <s v="WA"/>
    <n v="99999"/>
    <s v="USA"/>
    <m/>
    <s v="Green Tea"/>
    <x v="0"/>
    <n v="2.99"/>
    <n v="85"/>
    <x v="228"/>
    <n v="24.652550000000002"/>
  </r>
  <r>
    <n v="1295"/>
    <x v="110"/>
    <n v="28"/>
    <x v="7"/>
    <s v="789 28th Street"/>
    <x v="6"/>
    <x v="6"/>
    <n v="99999"/>
    <s v="USA"/>
    <x v="5"/>
    <x v="3"/>
    <d v="2014-10-30T00:00:00"/>
    <s v="Shipping Company C"/>
    <s v="Amritansh Raghav"/>
    <s v="789 28th Street"/>
    <x v="6"/>
    <s v="TN"/>
    <n v="99999"/>
    <s v="USA"/>
    <s v="Credit Card"/>
    <s v="Clam Chowder"/>
    <x v="4"/>
    <n v="9.65"/>
    <n v="44"/>
    <x v="229"/>
    <n v="44.158400000000007"/>
  </r>
  <r>
    <n v="1296"/>
    <x v="110"/>
    <n v="28"/>
    <x v="7"/>
    <s v="789 28th Street"/>
    <x v="6"/>
    <x v="6"/>
    <n v="99999"/>
    <s v="USA"/>
    <x v="5"/>
    <x v="3"/>
    <d v="2014-10-30T00:00:00"/>
    <s v="Shipping Company C"/>
    <s v="Amritansh Raghav"/>
    <s v="789 28th Street"/>
    <x v="6"/>
    <s v="TN"/>
    <n v="99999"/>
    <s v="USA"/>
    <s v="Credit Card"/>
    <s v="Crab Meat"/>
    <x v="8"/>
    <n v="18.399999999999999"/>
    <n v="24"/>
    <x v="230"/>
    <n v="42.835199999999993"/>
  </r>
  <r>
    <n v="1297"/>
    <x v="116"/>
    <n v="9"/>
    <x v="12"/>
    <s v="123 9th Street"/>
    <x v="11"/>
    <x v="11"/>
    <n v="99999"/>
    <s v="USA"/>
    <x v="7"/>
    <x v="0"/>
    <d v="2014-10-11T00:00:00"/>
    <s v="Shipping Company A"/>
    <s v="Sven Mortensen"/>
    <s v="123 9th Street"/>
    <x v="11"/>
    <s v="UT"/>
    <n v="99999"/>
    <s v="USA"/>
    <s v="Check"/>
    <s v="Ravioli"/>
    <x v="9"/>
    <n v="19.5"/>
    <n v="64"/>
    <x v="231"/>
    <n v="119.80800000000001"/>
  </r>
  <r>
    <n v="1298"/>
    <x v="116"/>
    <n v="9"/>
    <x v="12"/>
    <s v="123 9th Street"/>
    <x v="11"/>
    <x v="11"/>
    <n v="99999"/>
    <s v="USA"/>
    <x v="7"/>
    <x v="0"/>
    <d v="2014-10-11T00:00:00"/>
    <s v="Shipping Company A"/>
    <s v="Sven Mortensen"/>
    <s v="123 9th Street"/>
    <x v="11"/>
    <s v="UT"/>
    <n v="99999"/>
    <s v="USA"/>
    <s v="Check"/>
    <s v="Mozzarella"/>
    <x v="10"/>
    <n v="34.799999999999997"/>
    <n v="70"/>
    <x v="232"/>
    <n v="246.03600000000003"/>
  </r>
  <r>
    <n v="1299"/>
    <x v="109"/>
    <n v="6"/>
    <x v="6"/>
    <s v="123 6th Street"/>
    <x v="5"/>
    <x v="5"/>
    <n v="99999"/>
    <s v="USA"/>
    <x v="4"/>
    <x v="2"/>
    <d v="2014-10-08T00:00:00"/>
    <s v="Shipping Company B"/>
    <s v="Francisco Pérez-Olaeta"/>
    <s v="123 6th Street"/>
    <x v="5"/>
    <s v="WI"/>
    <n v="99999"/>
    <s v="USA"/>
    <s v="Credit Card"/>
    <s v="Beer"/>
    <x v="0"/>
    <n v="14"/>
    <n v="98"/>
    <x v="233"/>
    <n v="138.57200000000003"/>
  </r>
  <r>
    <n v="1300"/>
    <x v="111"/>
    <n v="8"/>
    <x v="3"/>
    <s v="123 8th Street"/>
    <x v="2"/>
    <x v="2"/>
    <n v="99999"/>
    <s v="USA"/>
    <x v="2"/>
    <x v="2"/>
    <d v="2014-10-10T00:00:00"/>
    <s v="Shipping Company B"/>
    <s v="Elizabeth Andersen"/>
    <s v="123 8th Street"/>
    <x v="2"/>
    <s v="OR"/>
    <n v="99999"/>
    <s v="USA"/>
    <s v="Check"/>
    <s v="Curry Sauce"/>
    <x v="5"/>
    <n v="40"/>
    <n v="48"/>
    <x v="208"/>
    <n v="188.16"/>
  </r>
  <r>
    <n v="1301"/>
    <x v="111"/>
    <n v="8"/>
    <x v="3"/>
    <s v="123 8th Street"/>
    <x v="2"/>
    <x v="2"/>
    <n v="99999"/>
    <s v="USA"/>
    <x v="2"/>
    <x v="2"/>
    <d v="2014-10-10T00:00:00"/>
    <s v="Shipping Company B"/>
    <s v="Elizabeth Andersen"/>
    <s v="123 8th Street"/>
    <x v="2"/>
    <s v="OR"/>
    <n v="99999"/>
    <s v="USA"/>
    <s v="Check"/>
    <s v="Chocolate Biscuits Mix"/>
    <x v="2"/>
    <n v="9.1999999999999993"/>
    <n v="100"/>
    <x v="234"/>
    <n v="91.08"/>
  </r>
  <r>
    <n v="1302"/>
    <x v="117"/>
    <n v="25"/>
    <x v="13"/>
    <s v="789 25th Street"/>
    <x v="7"/>
    <x v="7"/>
    <n v="99999"/>
    <s v="USA"/>
    <x v="6"/>
    <x v="1"/>
    <d v="2014-10-27T00:00:00"/>
    <s v="Shipping Company A"/>
    <s v="John Rodman"/>
    <s v="789 25th Street"/>
    <x v="7"/>
    <s v="IL"/>
    <n v="99999"/>
    <s v="USA"/>
    <s v="Cash"/>
    <s v="Scones"/>
    <x v="2"/>
    <n v="10"/>
    <n v="90"/>
    <x v="235"/>
    <n v="87.3"/>
  </r>
  <r>
    <n v="1303"/>
    <x v="118"/>
    <n v="26"/>
    <x v="14"/>
    <s v="789 26th Street"/>
    <x v="9"/>
    <x v="9"/>
    <n v="99999"/>
    <s v="USA"/>
    <x v="5"/>
    <x v="3"/>
    <d v="2014-10-28T00:00:00"/>
    <s v="Shipping Company C"/>
    <s v="Run Liu"/>
    <s v="789 26th Street"/>
    <x v="9"/>
    <s v="FL"/>
    <n v="99999"/>
    <s v="USA"/>
    <s v="Credit Card"/>
    <s v="Olive Oil"/>
    <x v="13"/>
    <n v="21.35"/>
    <n v="49"/>
    <x v="236"/>
    <n v="102.5227"/>
  </r>
  <r>
    <n v="1304"/>
    <x v="118"/>
    <n v="26"/>
    <x v="14"/>
    <s v="789 26th Street"/>
    <x v="9"/>
    <x v="9"/>
    <n v="99999"/>
    <s v="USA"/>
    <x v="5"/>
    <x v="3"/>
    <d v="2014-10-28T00:00:00"/>
    <s v="Shipping Company C"/>
    <s v="Run Liu"/>
    <s v="789 26th Street"/>
    <x v="9"/>
    <s v="FL"/>
    <n v="99999"/>
    <s v="USA"/>
    <s v="Credit Card"/>
    <s v="Clam Chowder"/>
    <x v="4"/>
    <n v="9.65"/>
    <n v="71"/>
    <x v="237"/>
    <n v="65.7744"/>
  </r>
  <r>
    <n v="1305"/>
    <x v="118"/>
    <n v="26"/>
    <x v="14"/>
    <s v="789 26th Street"/>
    <x v="9"/>
    <x v="9"/>
    <n v="99999"/>
    <s v="USA"/>
    <x v="5"/>
    <x v="3"/>
    <d v="2014-10-28T00:00:00"/>
    <s v="Shipping Company C"/>
    <s v="Run Liu"/>
    <s v="789 26th Street"/>
    <x v="9"/>
    <s v="FL"/>
    <n v="99999"/>
    <s v="USA"/>
    <s v="Credit Card"/>
    <s v="Crab Meat"/>
    <x v="8"/>
    <n v="18.399999999999999"/>
    <n v="10"/>
    <x v="238"/>
    <n v="19.136000000000003"/>
  </r>
  <r>
    <n v="1306"/>
    <x v="119"/>
    <n v="29"/>
    <x v="4"/>
    <s v="789 29th Street"/>
    <x v="3"/>
    <x v="3"/>
    <n v="99999"/>
    <s v="USA"/>
    <x v="3"/>
    <x v="0"/>
    <d v="2014-10-31T00:00:00"/>
    <s v="Shipping Company B"/>
    <s v="Soo Jung Lee"/>
    <s v="789 29th Street"/>
    <x v="3"/>
    <s v="CO"/>
    <n v="99999"/>
    <s v="USA"/>
    <s v="Check"/>
    <s v="Beer"/>
    <x v="0"/>
    <n v="14"/>
    <n v="78"/>
    <x v="239"/>
    <n v="112.476"/>
  </r>
  <r>
    <n v="1307"/>
    <x v="109"/>
    <n v="6"/>
    <x v="6"/>
    <s v="123 6th Street"/>
    <x v="5"/>
    <x v="5"/>
    <n v="99999"/>
    <s v="USA"/>
    <x v="4"/>
    <x v="2"/>
    <d v="2014-10-08T00:00:00"/>
    <s v="Shipping Company C"/>
    <s v="Francisco Pérez-Olaeta"/>
    <s v="123 6th Street"/>
    <x v="5"/>
    <s v="WI"/>
    <n v="99999"/>
    <s v="USA"/>
    <s v="Check"/>
    <s v="Chocolate"/>
    <x v="3"/>
    <n v="12.75"/>
    <n v="44"/>
    <x v="134"/>
    <n v="53.856000000000002"/>
  </r>
  <r>
    <n v="1309"/>
    <x v="120"/>
    <n v="4"/>
    <x v="1"/>
    <s v="123 4th Street"/>
    <x v="1"/>
    <x v="1"/>
    <n v="99999"/>
    <s v="USA"/>
    <x v="1"/>
    <x v="1"/>
    <d v="2014-10-06T00:00:00"/>
    <s v="Shipping Company A"/>
    <s v="Christina Lee"/>
    <s v="123 4th Street"/>
    <x v="1"/>
    <s v="NY"/>
    <n v="99999"/>
    <s v="USA"/>
    <s v="Credit Card"/>
    <s v="Marmalade"/>
    <x v="6"/>
    <n v="81"/>
    <n v="82"/>
    <x v="240"/>
    <n v="697.41000000000008"/>
  </r>
  <r>
    <n v="1310"/>
    <x v="120"/>
    <n v="4"/>
    <x v="1"/>
    <s v="123 4th Street"/>
    <x v="1"/>
    <x v="1"/>
    <n v="99999"/>
    <s v="USA"/>
    <x v="1"/>
    <x v="1"/>
    <d v="2014-10-06T00:00:00"/>
    <s v="Shipping Company A"/>
    <s v="Christina Lee"/>
    <s v="123 4th Street"/>
    <x v="1"/>
    <s v="NY"/>
    <n v="99999"/>
    <s v="USA"/>
    <s v="Credit Card"/>
    <s v="Long Grain Rice"/>
    <x v="14"/>
    <n v="7"/>
    <n v="29"/>
    <x v="241"/>
    <n v="20.3"/>
  </r>
  <r>
    <n v="1312"/>
    <x v="111"/>
    <n v="8"/>
    <x v="3"/>
    <s v="123 8th Street"/>
    <x v="2"/>
    <x v="2"/>
    <n v="99999"/>
    <s v="USA"/>
    <x v="2"/>
    <x v="2"/>
    <d v="2014-10-10T00:00:00"/>
    <s v="Shipping Company C"/>
    <s v="Elizabeth Andersen"/>
    <s v="123 8th Street"/>
    <x v="2"/>
    <s v="OR"/>
    <n v="99999"/>
    <s v="USA"/>
    <s v="Credit Card"/>
    <s v="Mozzarella"/>
    <x v="10"/>
    <n v="34.799999999999997"/>
    <n v="93"/>
    <x v="242"/>
    <n v="313.93079999999998"/>
  </r>
  <r>
    <n v="1315"/>
    <x v="121"/>
    <n v="3"/>
    <x v="5"/>
    <s v="123 3rd Street"/>
    <x v="4"/>
    <x v="4"/>
    <n v="99999"/>
    <s v="USA"/>
    <x v="0"/>
    <x v="0"/>
    <d v="2014-10-05T00:00:00"/>
    <s v="Shipping Company B"/>
    <s v="Thomas Axerr"/>
    <s v="123 3rd Street"/>
    <x v="4"/>
    <s v="CA"/>
    <n v="99999"/>
    <s v="USA"/>
    <s v="Cash"/>
    <s v="Syrup"/>
    <x v="7"/>
    <n v="10"/>
    <n v="11"/>
    <x v="243"/>
    <n v="11.440000000000001"/>
  </r>
  <r>
    <n v="1316"/>
    <x v="121"/>
    <n v="3"/>
    <x v="5"/>
    <s v="123 3rd Street"/>
    <x v="4"/>
    <x v="4"/>
    <n v="99999"/>
    <s v="USA"/>
    <x v="0"/>
    <x v="0"/>
    <d v="2014-10-05T00:00:00"/>
    <s v="Shipping Company B"/>
    <s v="Thomas Axerr"/>
    <s v="123 3rd Street"/>
    <x v="4"/>
    <s v="CA"/>
    <n v="99999"/>
    <s v="USA"/>
    <s v="Cash"/>
    <s v="Curry Sauce"/>
    <x v="5"/>
    <n v="40"/>
    <n v="91"/>
    <x v="157"/>
    <n v="364"/>
  </r>
  <r>
    <n v="1320"/>
    <x v="112"/>
    <n v="10"/>
    <x v="8"/>
    <s v="123 10th Street"/>
    <x v="7"/>
    <x v="7"/>
    <n v="99999"/>
    <s v="USA"/>
    <x v="6"/>
    <x v="1"/>
    <d v="2014-10-12T00:00:00"/>
    <s v="Shipping Company B"/>
    <s v="Roland Wacker"/>
    <s v="123 10th Street"/>
    <x v="7"/>
    <s v="IL"/>
    <n v="99999"/>
    <s v="USA"/>
    <s v="Credit Card"/>
    <s v="Almonds"/>
    <x v="1"/>
    <n v="10"/>
    <n v="12"/>
    <x v="244"/>
    <n v="12.36"/>
  </r>
  <r>
    <n v="1322"/>
    <x v="112"/>
    <n v="10"/>
    <x v="8"/>
    <s v="123 10th Street"/>
    <x v="7"/>
    <x v="7"/>
    <n v="99999"/>
    <s v="USA"/>
    <x v="6"/>
    <x v="1"/>
    <m/>
    <s v="Shipping Company A"/>
    <s v="Roland Wacker"/>
    <s v="123 10th Street"/>
    <x v="7"/>
    <s v="IL"/>
    <n v="99999"/>
    <s v="USA"/>
    <m/>
    <s v="Dried Plums"/>
    <x v="1"/>
    <n v="3.5"/>
    <n v="78"/>
    <x v="214"/>
    <n v="27.3"/>
  </r>
  <r>
    <n v="1323"/>
    <x v="114"/>
    <n v="11"/>
    <x v="10"/>
    <s v="123 11th Street"/>
    <x v="9"/>
    <x v="9"/>
    <n v="99999"/>
    <s v="USA"/>
    <x v="5"/>
    <x v="3"/>
    <m/>
    <s v="Shipping Company C"/>
    <s v="Peter Krschne"/>
    <s v="123 11th Street"/>
    <x v="9"/>
    <s v="FL"/>
    <n v="99999"/>
    <s v="USA"/>
    <m/>
    <s v="Curry Sauce"/>
    <x v="5"/>
    <n v="40"/>
    <n v="60"/>
    <x v="245"/>
    <n v="228"/>
  </r>
  <r>
    <n v="1324"/>
    <x v="115"/>
    <n v="1"/>
    <x v="11"/>
    <s v="123 1st Street"/>
    <x v="10"/>
    <x v="10"/>
    <n v="99999"/>
    <s v="USA"/>
    <x v="2"/>
    <x v="2"/>
    <m/>
    <s v="Shipping Company C"/>
    <s v="Anna Bedecs"/>
    <s v="123 1st Street"/>
    <x v="10"/>
    <s v="WA"/>
    <n v="99999"/>
    <s v="USA"/>
    <m/>
    <s v="Crab Meat"/>
    <x v="8"/>
    <n v="18.399999999999999"/>
    <n v="23"/>
    <x v="246"/>
    <n v="43.589600000000004"/>
  </r>
  <r>
    <n v="1325"/>
    <x v="110"/>
    <n v="28"/>
    <x v="7"/>
    <s v="789 28th Street"/>
    <x v="6"/>
    <x v="6"/>
    <n v="99999"/>
    <s v="USA"/>
    <x v="5"/>
    <x v="3"/>
    <d v="2014-10-30T00:00:00"/>
    <s v="Shipping Company C"/>
    <s v="Amritansh Raghav"/>
    <s v="789 28th Street"/>
    <x v="6"/>
    <s v="TN"/>
    <n v="99999"/>
    <s v="USA"/>
    <s v="Credit Card"/>
    <s v="Coffee"/>
    <x v="0"/>
    <n v="46"/>
    <n v="34"/>
    <x v="247"/>
    <n v="157.964"/>
  </r>
  <r>
    <n v="1326"/>
    <x v="116"/>
    <n v="9"/>
    <x v="12"/>
    <s v="123 9th Street"/>
    <x v="11"/>
    <x v="11"/>
    <n v="99999"/>
    <s v="USA"/>
    <x v="7"/>
    <x v="0"/>
    <d v="2014-10-11T00:00:00"/>
    <s v="Shipping Company A"/>
    <s v="Sven Mortensen"/>
    <s v="123 9th Street"/>
    <x v="11"/>
    <s v="UT"/>
    <n v="99999"/>
    <s v="USA"/>
    <s v="Check"/>
    <s v="Clam Chowder"/>
    <x v="4"/>
    <n v="9.65"/>
    <n v="89"/>
    <x v="248"/>
    <n v="86.743850000000009"/>
  </r>
  <r>
    <n v="1327"/>
    <x v="109"/>
    <n v="6"/>
    <x v="6"/>
    <s v="123 6th Street"/>
    <x v="5"/>
    <x v="5"/>
    <n v="99999"/>
    <s v="USA"/>
    <x v="4"/>
    <x v="2"/>
    <d v="2014-10-08T00:00:00"/>
    <s v="Shipping Company B"/>
    <s v="Francisco Pérez-Olaeta"/>
    <s v="123 6th Street"/>
    <x v="5"/>
    <s v="WI"/>
    <n v="99999"/>
    <s v="USA"/>
    <s v="Credit Card"/>
    <s v="Chocolate"/>
    <x v="3"/>
    <n v="12.75"/>
    <n v="82"/>
    <x v="249"/>
    <n v="103.50450000000001"/>
  </r>
  <r>
    <n v="1328"/>
    <x v="111"/>
    <n v="8"/>
    <x v="3"/>
    <s v="123 8th Street"/>
    <x v="2"/>
    <x v="2"/>
    <n v="99999"/>
    <s v="USA"/>
    <x v="2"/>
    <x v="2"/>
    <d v="2014-10-10T00:00:00"/>
    <s v="Shipping Company B"/>
    <s v="Elizabeth Andersen"/>
    <s v="123 8th Street"/>
    <x v="2"/>
    <s v="OR"/>
    <n v="99999"/>
    <s v="USA"/>
    <s v="Check"/>
    <s v="Chocolate"/>
    <x v="3"/>
    <n v="12.75"/>
    <n v="43"/>
    <x v="250"/>
    <n v="52.631999999999998"/>
  </r>
  <r>
    <n v="1329"/>
    <x v="122"/>
    <n v="10"/>
    <x v="8"/>
    <s v="123 10th Street"/>
    <x v="7"/>
    <x v="7"/>
    <n v="99999"/>
    <s v="USA"/>
    <x v="6"/>
    <x v="1"/>
    <d v="2014-11-12T00:00:00"/>
    <s v="Shipping Company A"/>
    <s v="Roland Wacker"/>
    <s v="123 10th Street"/>
    <x v="7"/>
    <s v="IL"/>
    <n v="99999"/>
    <s v="USA"/>
    <m/>
    <s v="Cajun Seasoning"/>
    <x v="7"/>
    <n v="22"/>
    <n v="96"/>
    <x v="251"/>
    <n v="221.76000000000002"/>
  </r>
  <r>
    <n v="1330"/>
    <x v="122"/>
    <n v="10"/>
    <x v="8"/>
    <s v="123 10th Street"/>
    <x v="7"/>
    <x v="7"/>
    <n v="99999"/>
    <s v="USA"/>
    <x v="6"/>
    <x v="1"/>
    <d v="2014-11-12T00:00:00"/>
    <s v="Shipping Company A"/>
    <s v="Roland Wacker"/>
    <s v="123 10th Street"/>
    <x v="7"/>
    <s v="IL"/>
    <n v="99999"/>
    <s v="USA"/>
    <m/>
    <s v="Chocolate Biscuits Mix"/>
    <x v="2"/>
    <n v="9.1999999999999993"/>
    <n v="34"/>
    <x v="252"/>
    <n v="31.279999999999998"/>
  </r>
  <r>
    <n v="1331"/>
    <x v="123"/>
    <n v="11"/>
    <x v="10"/>
    <s v="123 11th Street"/>
    <x v="9"/>
    <x v="9"/>
    <n v="99999"/>
    <s v="USA"/>
    <x v="5"/>
    <x v="3"/>
    <m/>
    <s v="Shipping Company C"/>
    <s v="Peter Krschne"/>
    <s v="123 11th Street"/>
    <x v="9"/>
    <s v="FL"/>
    <n v="99999"/>
    <s v="USA"/>
    <m/>
    <s v="Dried Plums"/>
    <x v="1"/>
    <n v="3.5"/>
    <n v="42"/>
    <x v="253"/>
    <n v="15.141000000000002"/>
  </r>
  <r>
    <n v="1332"/>
    <x v="123"/>
    <n v="11"/>
    <x v="10"/>
    <s v="123 11th Street"/>
    <x v="9"/>
    <x v="9"/>
    <n v="99999"/>
    <s v="USA"/>
    <x v="5"/>
    <x v="3"/>
    <m/>
    <s v="Shipping Company C"/>
    <s v="Peter Krschne"/>
    <s v="123 11th Street"/>
    <x v="9"/>
    <s v="FL"/>
    <n v="99999"/>
    <s v="USA"/>
    <m/>
    <s v="Green Tea"/>
    <x v="0"/>
    <n v="2.99"/>
    <n v="100"/>
    <x v="254"/>
    <n v="30.498000000000001"/>
  </r>
  <r>
    <n v="1333"/>
    <x v="124"/>
    <n v="1"/>
    <x v="11"/>
    <s v="123 1st Street"/>
    <x v="10"/>
    <x v="10"/>
    <n v="99999"/>
    <s v="USA"/>
    <x v="2"/>
    <x v="2"/>
    <m/>
    <m/>
    <s v="Anna Bedecs"/>
    <s v="123 1st Street"/>
    <x v="10"/>
    <s v="WA"/>
    <n v="99999"/>
    <s v="USA"/>
    <m/>
    <s v="Chai"/>
    <x v="0"/>
    <n v="18"/>
    <n v="42"/>
    <x v="21"/>
    <n v="76.356000000000009"/>
  </r>
  <r>
    <n v="1334"/>
    <x v="124"/>
    <n v="1"/>
    <x v="11"/>
    <s v="123 1st Street"/>
    <x v="10"/>
    <x v="10"/>
    <n v="99999"/>
    <s v="USA"/>
    <x v="2"/>
    <x v="2"/>
    <m/>
    <m/>
    <s v="Anna Bedecs"/>
    <s v="123 1st Street"/>
    <x v="10"/>
    <s v="WA"/>
    <n v="99999"/>
    <s v="USA"/>
    <m/>
    <s v="Coffee"/>
    <x v="0"/>
    <n v="46"/>
    <n v="16"/>
    <x v="129"/>
    <n v="70.656000000000006"/>
  </r>
  <r>
    <n v="1335"/>
    <x v="124"/>
    <n v="1"/>
    <x v="11"/>
    <s v="123 1st Street"/>
    <x v="10"/>
    <x v="10"/>
    <n v="99999"/>
    <s v="USA"/>
    <x v="2"/>
    <x v="2"/>
    <m/>
    <m/>
    <s v="Anna Bedecs"/>
    <s v="123 1st Street"/>
    <x v="10"/>
    <s v="WA"/>
    <n v="99999"/>
    <s v="USA"/>
    <m/>
    <s v="Green Tea"/>
    <x v="0"/>
    <n v="2.99"/>
    <n v="22"/>
    <x v="255"/>
    <n v="6.3806599999999998"/>
  </r>
  <r>
    <n v="1336"/>
    <x v="125"/>
    <n v="28"/>
    <x v="7"/>
    <s v="789 28th Street"/>
    <x v="6"/>
    <x v="6"/>
    <n v="99999"/>
    <s v="USA"/>
    <x v="5"/>
    <x v="3"/>
    <d v="2014-11-30T00:00:00"/>
    <s v="Shipping Company C"/>
    <s v="Amritansh Raghav"/>
    <s v="789 28th Street"/>
    <x v="6"/>
    <s v="TN"/>
    <n v="99999"/>
    <s v="USA"/>
    <s v="Credit Card"/>
    <s v="Clam Chowder"/>
    <x v="4"/>
    <n v="9.65"/>
    <n v="46"/>
    <x v="256"/>
    <n v="45.721700000000006"/>
  </r>
  <r>
    <n v="1337"/>
    <x v="125"/>
    <n v="28"/>
    <x v="7"/>
    <s v="789 28th Street"/>
    <x v="6"/>
    <x v="6"/>
    <n v="99999"/>
    <s v="USA"/>
    <x v="5"/>
    <x v="3"/>
    <n v="41973"/>
    <s v="Shipping Company C"/>
    <s v="Amritansh Raghav"/>
    <s v="789 28th Street"/>
    <x v="6"/>
    <s v="TN"/>
    <n v="99999"/>
    <s v="USA"/>
    <s v="Credit Card"/>
    <s v="Crab Meat"/>
    <x v="8"/>
    <n v="18.399999999999999"/>
    <n v="100"/>
    <x v="257"/>
    <n v="184"/>
  </r>
  <r>
    <n v="1338"/>
    <x v="126"/>
    <n v="9"/>
    <x v="12"/>
    <s v="123 9th Street"/>
    <x v="11"/>
    <x v="11"/>
    <n v="99999"/>
    <s v="USA"/>
    <x v="7"/>
    <x v="0"/>
    <n v="41954"/>
    <s v="Shipping Company A"/>
    <s v="Sven Mortensen"/>
    <s v="123 9th Street"/>
    <x v="11"/>
    <s v="UT"/>
    <n v="99999"/>
    <s v="USA"/>
    <s v="Check"/>
    <s v="Ravioli"/>
    <x v="9"/>
    <n v="19.5"/>
    <n v="87"/>
    <x v="258"/>
    <n v="174.73950000000002"/>
  </r>
  <r>
    <n v="1339"/>
    <x v="126"/>
    <n v="9"/>
    <x v="12"/>
    <s v="123 9th Street"/>
    <x v="11"/>
    <x v="11"/>
    <n v="99999"/>
    <s v="USA"/>
    <x v="7"/>
    <x v="0"/>
    <n v="41954"/>
    <s v="Shipping Company A"/>
    <s v="Sven Mortensen"/>
    <s v="123 9th Street"/>
    <x v="11"/>
    <s v="UT"/>
    <n v="99999"/>
    <s v="USA"/>
    <s v="Check"/>
    <s v="Mozzarella"/>
    <x v="10"/>
    <n v="34.799999999999997"/>
    <n v="58"/>
    <x v="259"/>
    <n v="205.8768"/>
  </r>
  <r>
    <n v="1340"/>
    <x v="127"/>
    <n v="6"/>
    <x v="6"/>
    <s v="123 6th Street"/>
    <x v="5"/>
    <x v="5"/>
    <n v="99999"/>
    <s v="USA"/>
    <x v="4"/>
    <x v="2"/>
    <n v="41951"/>
    <s v="Shipping Company B"/>
    <s v="Francisco Pérez-Olaeta"/>
    <s v="123 6th Street"/>
    <x v="5"/>
    <s v="WI"/>
    <n v="99999"/>
    <s v="USA"/>
    <s v="Credit Card"/>
    <s v="Beer"/>
    <x v="0"/>
    <n v="14"/>
    <n v="85"/>
    <x v="260"/>
    <n v="120.19"/>
  </r>
  <r>
    <n v="1341"/>
    <x v="128"/>
    <n v="8"/>
    <x v="3"/>
    <s v="123 8th Street"/>
    <x v="2"/>
    <x v="2"/>
    <n v="99999"/>
    <s v="USA"/>
    <x v="2"/>
    <x v="2"/>
    <n v="41953"/>
    <s v="Shipping Company B"/>
    <s v="Elizabeth Andersen"/>
    <s v="123 8th Street"/>
    <x v="2"/>
    <s v="OR"/>
    <n v="99999"/>
    <s v="USA"/>
    <s v="Check"/>
    <s v="Curry Sauce"/>
    <x v="5"/>
    <n v="40"/>
    <n v="28"/>
    <x v="139"/>
    <n v="110.88"/>
  </r>
  <r>
    <n v="1342"/>
    <x v="128"/>
    <n v="8"/>
    <x v="3"/>
    <s v="123 8th Street"/>
    <x v="2"/>
    <x v="2"/>
    <n v="99999"/>
    <s v="USA"/>
    <x v="2"/>
    <x v="2"/>
    <d v="2014-11-10T00:00:00"/>
    <s v="Shipping Company B"/>
    <s v="Elizabeth Andersen"/>
    <s v="123 8th Street"/>
    <x v="2"/>
    <s v="OR"/>
    <n v="99999"/>
    <s v="USA"/>
    <s v="Check"/>
    <s v="Chocolate Biscuits Mix"/>
    <x v="2"/>
    <n v="9.1999999999999993"/>
    <n v="19"/>
    <x v="261"/>
    <n v="17.130400000000002"/>
  </r>
  <r>
    <n v="1343"/>
    <x v="129"/>
    <n v="25"/>
    <x v="13"/>
    <s v="789 25th Street"/>
    <x v="7"/>
    <x v="7"/>
    <n v="99999"/>
    <s v="USA"/>
    <x v="6"/>
    <x v="1"/>
    <d v="2014-11-27T00:00:00"/>
    <s v="Shipping Company A"/>
    <s v="John Rodman"/>
    <s v="789 25th Street"/>
    <x v="7"/>
    <s v="IL"/>
    <n v="99999"/>
    <s v="USA"/>
    <s v="Cash"/>
    <s v="Scones"/>
    <x v="2"/>
    <n v="10"/>
    <n v="99"/>
    <x v="82"/>
    <n v="102.96000000000001"/>
  </r>
  <r>
    <n v="1344"/>
    <x v="130"/>
    <n v="26"/>
    <x v="14"/>
    <s v="789 26th Street"/>
    <x v="9"/>
    <x v="9"/>
    <n v="99999"/>
    <s v="USA"/>
    <x v="5"/>
    <x v="3"/>
    <d v="2014-11-28T00:00:00"/>
    <s v="Shipping Company C"/>
    <s v="Run Liu"/>
    <s v="789 26th Street"/>
    <x v="9"/>
    <s v="FL"/>
    <n v="99999"/>
    <s v="USA"/>
    <s v="Credit Card"/>
    <s v="Olive Oil"/>
    <x v="13"/>
    <n v="21.35"/>
    <n v="69"/>
    <x v="262"/>
    <n v="153.20760000000004"/>
  </r>
  <r>
    <n v="1345"/>
    <x v="130"/>
    <n v="26"/>
    <x v="14"/>
    <s v="789 26th Street"/>
    <x v="9"/>
    <x v="9"/>
    <n v="99999"/>
    <s v="USA"/>
    <x v="5"/>
    <x v="3"/>
    <d v="2014-11-28T00:00:00"/>
    <s v="Shipping Company C"/>
    <s v="Run Liu"/>
    <s v="789 26th Street"/>
    <x v="9"/>
    <s v="FL"/>
    <n v="99999"/>
    <s v="USA"/>
    <s v="Credit Card"/>
    <s v="Clam Chowder"/>
    <x v="4"/>
    <n v="9.65"/>
    <n v="37"/>
    <x v="263"/>
    <n v="33.919750000000001"/>
  </r>
  <r>
    <n v="1346"/>
    <x v="130"/>
    <n v="26"/>
    <x v="14"/>
    <s v="789 26th Street"/>
    <x v="9"/>
    <x v="9"/>
    <n v="99999"/>
    <s v="USA"/>
    <x v="5"/>
    <x v="3"/>
    <d v="2014-11-28T00:00:00"/>
    <s v="Shipping Company C"/>
    <s v="Run Liu"/>
    <s v="789 26th Street"/>
    <x v="9"/>
    <s v="FL"/>
    <n v="99999"/>
    <s v="USA"/>
    <s v="Credit Card"/>
    <s v="Crab Meat"/>
    <x v="8"/>
    <n v="18.399999999999999"/>
    <n v="64"/>
    <x v="107"/>
    <n v="118.93759999999999"/>
  </r>
  <r>
    <n v="1347"/>
    <x v="131"/>
    <n v="29"/>
    <x v="4"/>
    <s v="789 29th Street"/>
    <x v="3"/>
    <x v="3"/>
    <n v="99999"/>
    <s v="USA"/>
    <x v="3"/>
    <x v="0"/>
    <d v="2014-12-01T00:00:00"/>
    <s v="Shipping Company B"/>
    <s v="Soo Jung Lee"/>
    <s v="789 29th Street"/>
    <x v="3"/>
    <s v="CO"/>
    <n v="99999"/>
    <s v="USA"/>
    <s v="Check"/>
    <s v="Beer"/>
    <x v="0"/>
    <n v="14"/>
    <n v="38"/>
    <x v="197"/>
    <n v="55.328000000000003"/>
  </r>
  <r>
    <n v="1348"/>
    <x v="127"/>
    <n v="6"/>
    <x v="6"/>
    <s v="123 6th Street"/>
    <x v="5"/>
    <x v="5"/>
    <n v="99999"/>
    <s v="USA"/>
    <x v="4"/>
    <x v="2"/>
    <d v="2014-11-08T00:00:00"/>
    <s v="Shipping Company C"/>
    <s v="Francisco Pérez-Olaeta"/>
    <s v="123 6th Street"/>
    <x v="5"/>
    <s v="WI"/>
    <n v="99999"/>
    <s v="USA"/>
    <s v="Check"/>
    <s v="Chocolate"/>
    <x v="3"/>
    <n v="12.75"/>
    <n v="15"/>
    <x v="264"/>
    <n v="18.55125"/>
  </r>
  <r>
    <n v="1350"/>
    <x v="132"/>
    <n v="4"/>
    <x v="1"/>
    <s v="123 4th Street"/>
    <x v="1"/>
    <x v="1"/>
    <n v="99999"/>
    <s v="USA"/>
    <x v="1"/>
    <x v="1"/>
    <d v="2014-11-06T00:00:00"/>
    <s v="Shipping Company A"/>
    <s v="Christina Lee"/>
    <s v="123 4th Street"/>
    <x v="1"/>
    <s v="NY"/>
    <n v="99999"/>
    <s v="USA"/>
    <s v="Credit Card"/>
    <s v="Marmalade"/>
    <x v="6"/>
    <n v="81"/>
    <n v="52"/>
    <x v="265"/>
    <n v="412.77600000000001"/>
  </r>
  <r>
    <n v="1351"/>
    <x v="132"/>
    <n v="4"/>
    <x v="1"/>
    <s v="123 4th Street"/>
    <x v="1"/>
    <x v="1"/>
    <n v="99999"/>
    <s v="USA"/>
    <x v="1"/>
    <x v="1"/>
    <d v="2014-11-06T00:00:00"/>
    <s v="Shipping Company A"/>
    <s v="Christina Lee"/>
    <s v="123 4th Street"/>
    <x v="1"/>
    <s v="NY"/>
    <n v="99999"/>
    <s v="USA"/>
    <s v="Credit Card"/>
    <s v="Long Grain Rice"/>
    <x v="14"/>
    <n v="7"/>
    <n v="37"/>
    <x v="58"/>
    <n v="25.382000000000001"/>
  </r>
  <r>
    <n v="1353"/>
    <x v="128"/>
    <n v="8"/>
    <x v="3"/>
    <s v="123 8th Street"/>
    <x v="2"/>
    <x v="2"/>
    <n v="99999"/>
    <s v="USA"/>
    <x v="2"/>
    <x v="2"/>
    <d v="2014-11-10T00:00:00"/>
    <s v="Shipping Company C"/>
    <s v="Elizabeth Andersen"/>
    <s v="123 8th Street"/>
    <x v="2"/>
    <s v="OR"/>
    <n v="99999"/>
    <s v="USA"/>
    <s v="Credit Card"/>
    <s v="Mozzarella"/>
    <x v="10"/>
    <n v="34.799999999999997"/>
    <n v="24"/>
    <x v="266"/>
    <n v="80.179199999999994"/>
  </r>
  <r>
    <n v="1356"/>
    <x v="133"/>
    <n v="3"/>
    <x v="5"/>
    <s v="123 3rd Street"/>
    <x v="4"/>
    <x v="4"/>
    <n v="99999"/>
    <s v="USA"/>
    <x v="0"/>
    <x v="0"/>
    <d v="2014-11-05T00:00:00"/>
    <s v="Shipping Company B"/>
    <s v="Thomas Axerr"/>
    <s v="123 3rd Street"/>
    <x v="4"/>
    <s v="CA"/>
    <n v="99999"/>
    <s v="USA"/>
    <s v="Cash"/>
    <s v="Syrup"/>
    <x v="7"/>
    <n v="10"/>
    <n v="36"/>
    <x v="267"/>
    <n v="37.08"/>
  </r>
  <r>
    <n v="1357"/>
    <x v="133"/>
    <n v="3"/>
    <x v="5"/>
    <s v="123 3rd Street"/>
    <x v="4"/>
    <x v="4"/>
    <n v="99999"/>
    <s v="USA"/>
    <x v="0"/>
    <x v="0"/>
    <d v="2014-11-05T00:00:00"/>
    <s v="Shipping Company B"/>
    <s v="Thomas Axerr"/>
    <s v="123 3rd Street"/>
    <x v="4"/>
    <s v="CA"/>
    <n v="99999"/>
    <s v="USA"/>
    <s v="Cash"/>
    <s v="Curry Sauce"/>
    <x v="5"/>
    <n v="40"/>
    <n v="24"/>
    <x v="268"/>
    <n v="96"/>
  </r>
  <r>
    <n v="1361"/>
    <x v="122"/>
    <n v="10"/>
    <x v="8"/>
    <s v="123 10th Street"/>
    <x v="7"/>
    <x v="7"/>
    <n v="99999"/>
    <s v="USA"/>
    <x v="6"/>
    <x v="1"/>
    <d v="2014-11-12T00:00:00"/>
    <s v="Shipping Company B"/>
    <s v="Roland Wacker"/>
    <s v="123 10th Street"/>
    <x v="7"/>
    <s v="IL"/>
    <n v="99999"/>
    <s v="USA"/>
    <s v="Credit Card"/>
    <s v="Almonds"/>
    <x v="1"/>
    <n v="10"/>
    <n v="20"/>
    <x v="269"/>
    <n v="20"/>
  </r>
  <r>
    <n v="1363"/>
    <x v="122"/>
    <n v="10"/>
    <x v="8"/>
    <s v="123 10th Street"/>
    <x v="7"/>
    <x v="7"/>
    <n v="99999"/>
    <s v="USA"/>
    <x v="6"/>
    <x v="1"/>
    <m/>
    <s v="Shipping Company A"/>
    <s v="Roland Wacker"/>
    <s v="123 10th Street"/>
    <x v="7"/>
    <s v="IL"/>
    <n v="99999"/>
    <s v="USA"/>
    <m/>
    <s v="Dried Plums"/>
    <x v="1"/>
    <n v="3.5"/>
    <n v="11"/>
    <x v="4"/>
    <n v="3.7345000000000002"/>
  </r>
  <r>
    <n v="1364"/>
    <x v="123"/>
    <n v="11"/>
    <x v="10"/>
    <s v="123 11th Street"/>
    <x v="9"/>
    <x v="9"/>
    <n v="99999"/>
    <s v="USA"/>
    <x v="5"/>
    <x v="3"/>
    <m/>
    <s v="Shipping Company C"/>
    <s v="Peter Krschne"/>
    <s v="123 11th Street"/>
    <x v="9"/>
    <s v="FL"/>
    <n v="99999"/>
    <s v="USA"/>
    <m/>
    <s v="Curry Sauce"/>
    <x v="5"/>
    <n v="40"/>
    <n v="78"/>
    <x v="189"/>
    <n v="299.52"/>
  </r>
  <r>
    <n v="1365"/>
    <x v="124"/>
    <n v="1"/>
    <x v="11"/>
    <s v="123 1st Street"/>
    <x v="10"/>
    <x v="10"/>
    <n v="99999"/>
    <s v="USA"/>
    <x v="2"/>
    <x v="2"/>
    <m/>
    <s v="Shipping Company C"/>
    <s v="Anna Bedecs"/>
    <s v="123 1st Street"/>
    <x v="10"/>
    <s v="WA"/>
    <n v="99999"/>
    <s v="USA"/>
    <m/>
    <s v="Crab Meat"/>
    <x v="8"/>
    <n v="18.399999999999999"/>
    <n v="76"/>
    <x v="270"/>
    <n v="144.0352"/>
  </r>
  <r>
    <n v="1366"/>
    <x v="125"/>
    <n v="28"/>
    <x v="7"/>
    <s v="789 28th Street"/>
    <x v="6"/>
    <x v="6"/>
    <n v="99999"/>
    <s v="USA"/>
    <x v="5"/>
    <x v="3"/>
    <d v="2014-11-30T00:00:00"/>
    <s v="Shipping Company C"/>
    <s v="Amritansh Raghav"/>
    <s v="789 28th Street"/>
    <x v="6"/>
    <s v="TN"/>
    <n v="99999"/>
    <s v="USA"/>
    <s v="Credit Card"/>
    <s v="Coffee"/>
    <x v="0"/>
    <n v="46"/>
    <n v="57"/>
    <x v="271"/>
    <n v="272.68799999999999"/>
  </r>
  <r>
    <n v="1367"/>
    <x v="126"/>
    <n v="9"/>
    <x v="12"/>
    <s v="123 9th Street"/>
    <x v="11"/>
    <x v="11"/>
    <n v="99999"/>
    <s v="USA"/>
    <x v="7"/>
    <x v="0"/>
    <d v="2014-11-11T00:00:00"/>
    <s v="Shipping Company A"/>
    <s v="Sven Mortensen"/>
    <s v="123 9th Street"/>
    <x v="11"/>
    <s v="UT"/>
    <n v="99999"/>
    <s v="USA"/>
    <s v="Check"/>
    <s v="Clam Chowder"/>
    <x v="4"/>
    <n v="9.65"/>
    <n v="14"/>
    <x v="272"/>
    <n v="12.9696"/>
  </r>
  <r>
    <n v="1368"/>
    <x v="134"/>
    <n v="27"/>
    <x v="0"/>
    <s v="789 27th Street"/>
    <x v="0"/>
    <x v="0"/>
    <n v="99999"/>
    <s v="USA"/>
    <x v="0"/>
    <x v="0"/>
    <d v="2014-12-29T00:00:00"/>
    <s v="Shipping Company B"/>
    <s v="Karen Toh"/>
    <s v="789 27th Street"/>
    <x v="0"/>
    <s v="NV"/>
    <n v="99999"/>
    <s v="USA"/>
    <s v="Check"/>
    <s v="Beer"/>
    <x v="0"/>
    <n v="14"/>
    <n v="14"/>
    <x v="273"/>
    <n v="19.796000000000003"/>
  </r>
  <r>
    <n v="1369"/>
    <x v="134"/>
    <n v="27"/>
    <x v="0"/>
    <s v="789 27th Street"/>
    <x v="0"/>
    <x v="0"/>
    <n v="99999"/>
    <s v="USA"/>
    <x v="0"/>
    <x v="0"/>
    <d v="2014-12-29T00:00:00"/>
    <s v="Shipping Company B"/>
    <s v="Karen Toh"/>
    <s v="789 27th Street"/>
    <x v="0"/>
    <s v="NV"/>
    <n v="99999"/>
    <s v="USA"/>
    <s v="Check"/>
    <s v="Dried Plums"/>
    <x v="1"/>
    <n v="3.5"/>
    <n v="70"/>
    <x v="274"/>
    <n v="25.234999999999999"/>
  </r>
  <r>
    <n v="1370"/>
    <x v="135"/>
    <n v="4"/>
    <x v="1"/>
    <s v="123 4th Street"/>
    <x v="1"/>
    <x v="1"/>
    <n v="99999"/>
    <s v="USA"/>
    <x v="1"/>
    <x v="1"/>
    <d v="2014-12-06T00:00:00"/>
    <s v="Shipping Company A"/>
    <s v="Christina Lee"/>
    <s v="123 4th Street"/>
    <x v="1"/>
    <s v="NY"/>
    <n v="99999"/>
    <s v="USA"/>
    <s v="Credit Card"/>
    <s v="Dried Pears"/>
    <x v="1"/>
    <n v="30"/>
    <n v="100"/>
    <x v="275"/>
    <n v="291"/>
  </r>
  <r>
    <n v="1371"/>
    <x v="135"/>
    <n v="4"/>
    <x v="1"/>
    <s v="123 4th Street"/>
    <x v="1"/>
    <x v="1"/>
    <n v="99999"/>
    <s v="USA"/>
    <x v="1"/>
    <x v="1"/>
    <d v="2014-12-06T00:00:00"/>
    <s v="Shipping Company A"/>
    <s v="Christina Lee"/>
    <s v="123 4th Street"/>
    <x v="1"/>
    <s v="NY"/>
    <n v="99999"/>
    <s v="USA"/>
    <s v="Credit Card"/>
    <s v="Dried Apples"/>
    <x v="1"/>
    <n v="53"/>
    <n v="27"/>
    <x v="276"/>
    <n v="143.1"/>
  </r>
  <r>
    <n v="1372"/>
    <x v="135"/>
    <n v="4"/>
    <x v="1"/>
    <s v="123 4th Street"/>
    <x v="1"/>
    <x v="1"/>
    <n v="99999"/>
    <s v="USA"/>
    <x v="1"/>
    <x v="1"/>
    <d v="2014-12-06T00:00:00"/>
    <s v="Shipping Company A"/>
    <s v="Christina Lee"/>
    <s v="123 4th Street"/>
    <x v="1"/>
    <s v="NY"/>
    <n v="99999"/>
    <s v="USA"/>
    <s v="Credit Card"/>
    <s v="Dried Plums"/>
    <x v="1"/>
    <n v="3.5"/>
    <n v="70"/>
    <x v="274"/>
    <n v="24.009999999999998"/>
  </r>
  <r>
    <n v="1373"/>
    <x v="136"/>
    <n v="12"/>
    <x v="2"/>
    <s v="123 12th Street"/>
    <x v="0"/>
    <x v="0"/>
    <n v="99999"/>
    <s v="USA"/>
    <x v="0"/>
    <x v="0"/>
    <d v="2014-12-14T00:00:00"/>
    <s v="Shipping Company B"/>
    <s v="John Edwards"/>
    <s v="123 12th Street"/>
    <x v="0"/>
    <s v="NV"/>
    <n v="99999"/>
    <s v="USA"/>
    <s v="Credit Card"/>
    <s v="Chai"/>
    <x v="0"/>
    <n v="18"/>
    <n v="57"/>
    <x v="277"/>
    <n v="102.60000000000001"/>
  </r>
  <r>
    <n v="1374"/>
    <x v="136"/>
    <n v="12"/>
    <x v="2"/>
    <s v="123 12th Street"/>
    <x v="0"/>
    <x v="0"/>
    <n v="99999"/>
    <s v="USA"/>
    <x v="0"/>
    <x v="0"/>
    <d v="2014-12-14T00:00:00"/>
    <s v="Shipping Company B"/>
    <s v="John Edwards"/>
    <s v="123 12th Street"/>
    <x v="0"/>
    <s v="NV"/>
    <n v="99999"/>
    <s v="USA"/>
    <s v="Credit Card"/>
    <s v="Coffee"/>
    <x v="0"/>
    <n v="46"/>
    <n v="83"/>
    <x v="278"/>
    <n v="374.16399999999999"/>
  </r>
  <r>
    <n v="1375"/>
    <x v="137"/>
    <n v="8"/>
    <x v="3"/>
    <s v="123 8th Street"/>
    <x v="2"/>
    <x v="2"/>
    <n v="99999"/>
    <s v="USA"/>
    <x v="2"/>
    <x v="2"/>
    <d v="2014-12-10T00:00:00"/>
    <s v="Shipping Company C"/>
    <s v="Elizabeth Andersen"/>
    <s v="123 8th Street"/>
    <x v="2"/>
    <s v="OR"/>
    <n v="99999"/>
    <s v="USA"/>
    <s v="Credit Card"/>
    <s v="Chocolate Biscuits Mix"/>
    <x v="2"/>
    <n v="9.1999999999999993"/>
    <n v="76"/>
    <x v="279"/>
    <n v="67.123199999999997"/>
  </r>
  <r>
    <n v="1376"/>
    <x v="135"/>
    <n v="4"/>
    <x v="1"/>
    <s v="123 4th Street"/>
    <x v="1"/>
    <x v="1"/>
    <n v="99999"/>
    <s v="USA"/>
    <x v="1"/>
    <x v="1"/>
    <n v="41979"/>
    <s v="Shipping Company C"/>
    <s v="Christina Lee"/>
    <s v="123 4th Street"/>
    <x v="1"/>
    <s v="NY"/>
    <n v="99999"/>
    <s v="USA"/>
    <s v="Check"/>
    <s v="Chocolate Biscuits Mix"/>
    <x v="2"/>
    <n v="9.1999999999999993"/>
    <n v="80"/>
    <x v="129"/>
    <n v="72.864000000000004"/>
  </r>
  <r>
    <n v="1377"/>
    <x v="138"/>
    <n v="29"/>
    <x v="4"/>
    <s v="789 29th Street"/>
    <x v="3"/>
    <x v="3"/>
    <n v="99999"/>
    <s v="USA"/>
    <x v="3"/>
    <x v="0"/>
    <n v="42004"/>
    <s v="Shipping Company B"/>
    <s v="Soo Jung Lee"/>
    <s v="789 29th Street"/>
    <x v="3"/>
    <s v="CO"/>
    <n v="99999"/>
    <s v="USA"/>
    <s v="Check"/>
    <s v="Chocolate"/>
    <x v="3"/>
    <n v="12.75"/>
    <n v="47"/>
    <x v="13"/>
    <n v="59.325750000000006"/>
  </r>
  <r>
    <n v="1378"/>
    <x v="139"/>
    <n v="3"/>
    <x v="5"/>
    <s v="123 3rd Street"/>
    <x v="4"/>
    <x v="4"/>
    <n v="99999"/>
    <s v="USA"/>
    <x v="0"/>
    <x v="0"/>
    <n v="41978"/>
    <s v="Shipping Company B"/>
    <s v="Thomas Axerr"/>
    <s v="123 3rd Street"/>
    <x v="4"/>
    <s v="CA"/>
    <n v="99999"/>
    <s v="USA"/>
    <s v="Cash"/>
    <s v="Clam Chowder"/>
    <x v="4"/>
    <n v="9.65"/>
    <n v="96"/>
    <x v="280"/>
    <n v="94.492800000000017"/>
  </r>
  <r>
    <n v="1379"/>
    <x v="140"/>
    <n v="6"/>
    <x v="6"/>
    <s v="123 6th Street"/>
    <x v="5"/>
    <x v="5"/>
    <n v="99999"/>
    <s v="USA"/>
    <x v="4"/>
    <x v="2"/>
    <n v="41981"/>
    <s v="Shipping Company B"/>
    <s v="Francisco Pérez-Olaeta"/>
    <s v="123 6th Street"/>
    <x v="5"/>
    <s v="WI"/>
    <n v="99999"/>
    <s v="USA"/>
    <s v="Credit Card"/>
    <s v="Curry Sauce"/>
    <x v="5"/>
    <n v="40"/>
    <n v="32"/>
    <x v="11"/>
    <n v="134.4"/>
  </r>
  <r>
    <n v="1380"/>
    <x v="141"/>
    <n v="28"/>
    <x v="7"/>
    <s v="789 28th Street"/>
    <x v="6"/>
    <x v="6"/>
    <n v="99999"/>
    <s v="USA"/>
    <x v="5"/>
    <x v="3"/>
    <d v="2014-12-30T00:00:00"/>
    <s v="Shipping Company C"/>
    <s v="Amritansh Raghav"/>
    <s v="789 28th Street"/>
    <x v="6"/>
    <s v="TN"/>
    <n v="99999"/>
    <s v="USA"/>
    <s v="Check"/>
    <s v="Coffee"/>
    <x v="0"/>
    <n v="46"/>
    <n v="16"/>
    <x v="129"/>
    <n v="73.600000000000009"/>
  </r>
  <r>
    <n v="1381"/>
    <x v="137"/>
    <n v="8"/>
    <x v="3"/>
    <s v="123 8th Street"/>
    <x v="2"/>
    <x v="2"/>
    <n v="99999"/>
    <s v="USA"/>
    <x v="2"/>
    <x v="2"/>
    <d v="2014-12-10T00:00:00"/>
    <s v="Shipping Company C"/>
    <s v="Elizabeth Andersen"/>
    <s v="123 8th Street"/>
    <x v="2"/>
    <s v="OR"/>
    <n v="99999"/>
    <s v="USA"/>
    <s v="Check"/>
    <s v="Chocolate"/>
    <x v="3"/>
    <n v="12.75"/>
    <n v="41"/>
    <x v="87"/>
    <n v="51.229500000000002"/>
  </r>
  <r>
    <n v="1382"/>
    <x v="142"/>
    <n v="10"/>
    <x v="8"/>
    <s v="123 10th Street"/>
    <x v="7"/>
    <x v="7"/>
    <n v="99999"/>
    <s v="USA"/>
    <x v="6"/>
    <x v="1"/>
    <d v="2014-12-12T00:00:00"/>
    <s v="Shipping Company B"/>
    <s v="Roland Wacker"/>
    <s v="123 10th Street"/>
    <x v="7"/>
    <s v="IL"/>
    <n v="99999"/>
    <s v="USA"/>
    <s v="Credit Card"/>
    <s v="Green Tea"/>
    <x v="0"/>
    <n v="2.99"/>
    <n v="41"/>
    <x v="281"/>
    <n v="12.871950000000002"/>
  </r>
  <r>
    <n v="1383"/>
    <x v="143"/>
    <n v="7"/>
    <x v="9"/>
    <s v="123 7th Street"/>
    <x v="8"/>
    <x v="8"/>
    <n v="99999"/>
    <s v="USA"/>
    <x v="2"/>
    <x v="2"/>
    <m/>
    <m/>
    <s v="Ming-Yang Xie"/>
    <s v="123 7th Street"/>
    <x v="8"/>
    <s v="ID"/>
    <n v="99999"/>
    <s v="USA"/>
    <m/>
    <s v="Coffee"/>
    <x v="0"/>
    <n v="46"/>
    <n v="41"/>
    <x v="282"/>
    <n v="194.25800000000004"/>
  </r>
  <r>
    <n v="1384"/>
    <x v="142"/>
    <n v="10"/>
    <x v="8"/>
    <s v="123 10th Street"/>
    <x v="7"/>
    <x v="7"/>
    <n v="99999"/>
    <s v="USA"/>
    <x v="6"/>
    <x v="1"/>
    <d v="2014-12-12T00:00:00"/>
    <s v="Shipping Company A"/>
    <s v="Roland Wacker"/>
    <s v="123 10th Street"/>
    <x v="7"/>
    <s v="IL"/>
    <n v="99999"/>
    <s v="USA"/>
    <m/>
    <s v="Boysenberry Spread"/>
    <x v="6"/>
    <n v="25"/>
    <n v="94"/>
    <x v="283"/>
    <n v="235"/>
  </r>
  <r>
    <n v="1385"/>
    <x v="142"/>
    <n v="10"/>
    <x v="8"/>
    <s v="123 10th Street"/>
    <x v="7"/>
    <x v="7"/>
    <n v="99999"/>
    <s v="USA"/>
    <x v="6"/>
    <x v="1"/>
    <d v="2014-12-12T00:00:00"/>
    <s v="Shipping Company A"/>
    <s v="Roland Wacker"/>
    <s v="123 10th Street"/>
    <x v="7"/>
    <s v="IL"/>
    <n v="99999"/>
    <s v="USA"/>
    <m/>
    <s v="Cajun Seasoning"/>
    <x v="7"/>
    <n v="22"/>
    <n v="20"/>
    <x v="284"/>
    <n v="46.2"/>
  </r>
  <r>
    <n v="1386"/>
    <x v="142"/>
    <n v="10"/>
    <x v="8"/>
    <s v="123 10th Street"/>
    <x v="7"/>
    <x v="7"/>
    <n v="99999"/>
    <s v="USA"/>
    <x v="6"/>
    <x v="1"/>
    <n v="41985"/>
    <s v="Shipping Company A"/>
    <s v="Roland Wacker"/>
    <s v="123 10th Street"/>
    <x v="7"/>
    <s v="IL"/>
    <n v="99999"/>
    <s v="USA"/>
    <m/>
    <s v="Chocolate Biscuits Mix"/>
    <x v="2"/>
    <n v="9.1999999999999993"/>
    <n v="13"/>
    <x v="285"/>
    <n v="12.438400000000001"/>
  </r>
  <r>
    <n v="1387"/>
    <x v="144"/>
    <n v="11"/>
    <x v="10"/>
    <s v="123 11th Street"/>
    <x v="9"/>
    <x v="9"/>
    <n v="99999"/>
    <s v="USA"/>
    <x v="5"/>
    <x v="3"/>
    <m/>
    <s v="Shipping Company C"/>
    <s v="Peter Krschne"/>
    <s v="123 11th Street"/>
    <x v="9"/>
    <s v="FL"/>
    <n v="99999"/>
    <s v="USA"/>
    <m/>
    <s v="Dried Plums"/>
    <x v="1"/>
    <n v="3.5"/>
    <n v="74"/>
    <x v="58"/>
    <n v="26.936000000000003"/>
  </r>
  <r>
    <n v="1388"/>
    <x v="144"/>
    <n v="11"/>
    <x v="10"/>
    <s v="123 11th Street"/>
    <x v="9"/>
    <x v="9"/>
    <n v="99999"/>
    <s v="USA"/>
    <x v="5"/>
    <x v="3"/>
    <m/>
    <s v="Shipping Company C"/>
    <s v="Peter Krschne"/>
    <s v="123 11th Street"/>
    <x v="9"/>
    <s v="FL"/>
    <n v="99999"/>
    <s v="USA"/>
    <m/>
    <s v="Green Tea"/>
    <x v="0"/>
    <n v="2.99"/>
    <n v="53"/>
    <x v="286"/>
    <n v="16.005470000000003"/>
  </r>
  <r>
    <n v="1389"/>
    <x v="145"/>
    <n v="1"/>
    <x v="11"/>
    <s v="123 1st Street"/>
    <x v="10"/>
    <x v="10"/>
    <n v="99999"/>
    <s v="USA"/>
    <x v="2"/>
    <x v="2"/>
    <m/>
    <m/>
    <s v="Anna Bedecs"/>
    <s v="123 1st Street"/>
    <x v="10"/>
    <s v="WA"/>
    <n v="99999"/>
    <s v="USA"/>
    <m/>
    <s v="Chai"/>
    <x v="0"/>
    <n v="18"/>
    <n v="99"/>
    <x v="287"/>
    <n v="174.63600000000002"/>
  </r>
  <r>
    <n v="1390"/>
    <x v="145"/>
    <n v="1"/>
    <x v="11"/>
    <s v="123 1st Street"/>
    <x v="10"/>
    <x v="10"/>
    <n v="99999"/>
    <s v="USA"/>
    <x v="2"/>
    <x v="2"/>
    <m/>
    <m/>
    <s v="Anna Bedecs"/>
    <s v="123 1st Street"/>
    <x v="10"/>
    <s v="WA"/>
    <n v="99999"/>
    <s v="USA"/>
    <m/>
    <s v="Coffee"/>
    <x v="0"/>
    <n v="46"/>
    <n v="89"/>
    <x v="288"/>
    <n v="388.93"/>
  </r>
  <r>
    <n v="1391"/>
    <x v="145"/>
    <n v="1"/>
    <x v="11"/>
    <s v="123 1st Street"/>
    <x v="10"/>
    <x v="10"/>
    <n v="99999"/>
    <s v="USA"/>
    <x v="2"/>
    <x v="2"/>
    <m/>
    <m/>
    <s v="Anna Bedecs"/>
    <s v="123 1st Street"/>
    <x v="10"/>
    <s v="WA"/>
    <n v="99999"/>
    <s v="USA"/>
    <m/>
    <s v="Green Tea"/>
    <x v="0"/>
    <n v="2.99"/>
    <n v="64"/>
    <x v="200"/>
    <n v="19.518720000000002"/>
  </r>
  <r>
    <n v="1392"/>
    <x v="141"/>
    <n v="28"/>
    <x v="7"/>
    <s v="789 28th Street"/>
    <x v="6"/>
    <x v="6"/>
    <n v="99999"/>
    <s v="USA"/>
    <x v="5"/>
    <x v="3"/>
    <d v="2014-12-30T00:00:00"/>
    <s v="Shipping Company C"/>
    <s v="Amritansh Raghav"/>
    <s v="789 28th Street"/>
    <x v="6"/>
    <s v="TN"/>
    <n v="99999"/>
    <s v="USA"/>
    <s v="Credit Card"/>
    <s v="Clam Chowder"/>
    <x v="4"/>
    <n v="9.65"/>
    <n v="98"/>
    <x v="289"/>
    <n v="96.461400000000012"/>
  </r>
  <r>
    <n v="1393"/>
    <x v="141"/>
    <n v="28"/>
    <x v="7"/>
    <s v="789 28th Street"/>
    <x v="6"/>
    <x v="6"/>
    <n v="99999"/>
    <s v="USA"/>
    <x v="5"/>
    <x v="3"/>
    <d v="2014-12-30T00:00:00"/>
    <s v="Shipping Company C"/>
    <s v="Amritansh Raghav"/>
    <s v="789 28th Street"/>
    <x v="6"/>
    <s v="TN"/>
    <n v="99999"/>
    <s v="USA"/>
    <s v="Credit Card"/>
    <s v="Crab Meat"/>
    <x v="8"/>
    <n v="18.399999999999999"/>
    <n v="86"/>
    <x v="290"/>
    <n v="155.0752"/>
  </r>
  <r>
    <n v="1394"/>
    <x v="146"/>
    <n v="9"/>
    <x v="12"/>
    <s v="123 9th Street"/>
    <x v="11"/>
    <x v="11"/>
    <n v="99999"/>
    <s v="USA"/>
    <x v="7"/>
    <x v="0"/>
    <d v="2014-12-11T00:00:00"/>
    <s v="Shipping Company A"/>
    <s v="Sven Mortensen"/>
    <s v="123 9th Street"/>
    <x v="11"/>
    <s v="UT"/>
    <n v="99999"/>
    <s v="USA"/>
    <s v="Check"/>
    <s v="Ravioli"/>
    <x v="9"/>
    <n v="19.5"/>
    <n v="20"/>
    <x v="291"/>
    <n v="40.950000000000003"/>
  </r>
  <r>
    <n v="1395"/>
    <x v="146"/>
    <n v="9"/>
    <x v="12"/>
    <s v="123 9th Street"/>
    <x v="11"/>
    <x v="11"/>
    <n v="99999"/>
    <s v="USA"/>
    <x v="7"/>
    <x v="0"/>
    <d v="2014-12-11T00:00:00"/>
    <s v="Shipping Company A"/>
    <s v="Sven Mortensen"/>
    <s v="123 9th Street"/>
    <x v="11"/>
    <s v="UT"/>
    <n v="99999"/>
    <s v="USA"/>
    <s v="Check"/>
    <s v="Mozzarella"/>
    <x v="10"/>
    <n v="34.799999999999997"/>
    <n v="69"/>
    <x v="292"/>
    <n v="240.12"/>
  </r>
  <r>
    <n v="1396"/>
    <x v="140"/>
    <n v="6"/>
    <x v="6"/>
    <s v="123 6th Street"/>
    <x v="5"/>
    <x v="5"/>
    <n v="99999"/>
    <s v="USA"/>
    <x v="4"/>
    <x v="2"/>
    <d v="2014-12-08T00:00:00"/>
    <s v="Shipping Company B"/>
    <s v="Francisco Pérez-Olaeta"/>
    <s v="123 6th Street"/>
    <x v="5"/>
    <s v="WI"/>
    <n v="99999"/>
    <s v="USA"/>
    <s v="Credit Card"/>
    <s v="Beer"/>
    <x v="0"/>
    <n v="14"/>
    <n v="68"/>
    <x v="293"/>
    <n v="91.391999999999996"/>
  </r>
  <r>
    <n v="1397"/>
    <x v="137"/>
    <n v="8"/>
    <x v="3"/>
    <s v="123 8th Street"/>
    <x v="2"/>
    <x v="2"/>
    <n v="99999"/>
    <s v="USA"/>
    <x v="2"/>
    <x v="2"/>
    <d v="2014-12-10T00:00:00"/>
    <s v="Shipping Company B"/>
    <s v="Elizabeth Andersen"/>
    <s v="123 8th Street"/>
    <x v="2"/>
    <s v="OR"/>
    <n v="99999"/>
    <s v="USA"/>
    <s v="Check"/>
    <s v="Curry Sauce"/>
    <x v="5"/>
    <n v="40"/>
    <n v="52"/>
    <x v="294"/>
    <n v="203.84"/>
  </r>
  <r>
    <n v="1398"/>
    <x v="137"/>
    <n v="8"/>
    <x v="3"/>
    <s v="123 8th Street"/>
    <x v="2"/>
    <x v="2"/>
    <n v="99999"/>
    <s v="USA"/>
    <x v="2"/>
    <x v="2"/>
    <d v="2014-12-10T00:00:00"/>
    <s v="Shipping Company B"/>
    <s v="Elizabeth Andersen"/>
    <s v="123 8th Street"/>
    <x v="2"/>
    <s v="OR"/>
    <n v="99999"/>
    <s v="USA"/>
    <s v="Check"/>
    <s v="Chocolate Biscuits Mix"/>
    <x v="2"/>
    <n v="9.1999999999999993"/>
    <n v="40"/>
    <x v="295"/>
    <n v="38.640000000000008"/>
  </r>
  <r>
    <n v="1399"/>
    <x v="147"/>
    <n v="25"/>
    <x v="13"/>
    <s v="789 25th Street"/>
    <x v="7"/>
    <x v="7"/>
    <n v="99999"/>
    <s v="USA"/>
    <x v="6"/>
    <x v="1"/>
    <d v="2014-12-27T00:00:00"/>
    <s v="Shipping Company A"/>
    <s v="John Rodman"/>
    <s v="789 25th Street"/>
    <x v="7"/>
    <s v="IL"/>
    <n v="99999"/>
    <s v="USA"/>
    <s v="Cash"/>
    <s v="Scones"/>
    <x v="2"/>
    <n v="10"/>
    <n v="100"/>
    <x v="116"/>
    <n v="98"/>
  </r>
  <r>
    <n v="1400"/>
    <x v="148"/>
    <n v="26"/>
    <x v="14"/>
    <s v="789 26th Street"/>
    <x v="9"/>
    <x v="9"/>
    <n v="99999"/>
    <s v="USA"/>
    <x v="5"/>
    <x v="3"/>
    <d v="2014-12-28T00:00:00"/>
    <s v="Shipping Company C"/>
    <s v="Run Liu"/>
    <s v="789 26th Street"/>
    <x v="9"/>
    <s v="FL"/>
    <n v="99999"/>
    <s v="USA"/>
    <s v="Credit Card"/>
    <s v="Olive Oil"/>
    <x v="13"/>
    <n v="21.35"/>
    <n v="88"/>
    <x v="296"/>
    <n v="184.12240000000003"/>
  </r>
  <r>
    <n v="1401"/>
    <x v="148"/>
    <n v="26"/>
    <x v="14"/>
    <s v="789 26th Street"/>
    <x v="9"/>
    <x v="9"/>
    <n v="99999"/>
    <s v="USA"/>
    <x v="5"/>
    <x v="3"/>
    <d v="2014-12-28T00:00:00"/>
    <s v="Shipping Company C"/>
    <s v="Run Liu"/>
    <s v="789 26th Street"/>
    <x v="9"/>
    <s v="FL"/>
    <n v="99999"/>
    <s v="USA"/>
    <s v="Credit Card"/>
    <s v="Clam Chowder"/>
    <x v="4"/>
    <n v="9.65"/>
    <n v="46"/>
    <x v="256"/>
    <n v="42.614400000000003"/>
  </r>
  <r>
    <n v="1402"/>
    <x v="148"/>
    <n v="26"/>
    <x v="14"/>
    <s v="789 26th Street"/>
    <x v="9"/>
    <x v="9"/>
    <n v="99999"/>
    <s v="USA"/>
    <x v="5"/>
    <x v="3"/>
    <d v="2014-12-28T00:00:00"/>
    <s v="Shipping Company C"/>
    <s v="Run Liu"/>
    <s v="789 26th Street"/>
    <x v="9"/>
    <s v="FL"/>
    <n v="99999"/>
    <s v="USA"/>
    <s v="Credit Card"/>
    <s v="Crab Meat"/>
    <x v="8"/>
    <n v="18.399999999999999"/>
    <n v="93"/>
    <x v="297"/>
    <n v="167.69759999999999"/>
  </r>
  <r>
    <n v="1403"/>
    <x v="138"/>
    <n v="29"/>
    <x v="4"/>
    <s v="789 29th Street"/>
    <x v="3"/>
    <x v="3"/>
    <n v="99999"/>
    <s v="USA"/>
    <x v="3"/>
    <x v="0"/>
    <d v="2014-12-31T00:00:00"/>
    <s v="Shipping Company B"/>
    <s v="Soo Jung Lee"/>
    <s v="789 29th Street"/>
    <x v="3"/>
    <s v="CO"/>
    <n v="99999"/>
    <s v="USA"/>
    <s v="Check"/>
    <s v="Beer"/>
    <x v="0"/>
    <n v="14"/>
    <n v="96"/>
    <x v="298"/>
    <n v="141.12"/>
  </r>
  <r>
    <n v="1404"/>
    <x v="140"/>
    <n v="6"/>
    <x v="6"/>
    <s v="123 6th Street"/>
    <x v="5"/>
    <x v="5"/>
    <n v="99999"/>
    <s v="USA"/>
    <x v="4"/>
    <x v="2"/>
    <d v="2014-12-08T00:00:00"/>
    <s v="Shipping Company C"/>
    <s v="Francisco Pérez-Olaeta"/>
    <s v="123 6th Street"/>
    <x v="5"/>
    <s v="WI"/>
    <n v="99999"/>
    <s v="USA"/>
    <s v="Check"/>
    <s v="Chocolate"/>
    <x v="3"/>
    <n v="12.75"/>
    <n v="12"/>
    <x v="299"/>
    <n v="16.065000000000001"/>
  </r>
  <r>
    <n v="1406"/>
    <x v="135"/>
    <n v="4"/>
    <x v="1"/>
    <s v="123 4th Street"/>
    <x v="1"/>
    <x v="1"/>
    <n v="99999"/>
    <s v="USA"/>
    <x v="1"/>
    <x v="1"/>
    <d v="2014-12-06T00:00:00"/>
    <s v="Shipping Company A"/>
    <s v="Christina Lee"/>
    <s v="123 4th Street"/>
    <x v="1"/>
    <s v="NY"/>
    <n v="99999"/>
    <s v="USA"/>
    <s v="Credit Card"/>
    <s v="Marmalade"/>
    <x v="6"/>
    <n v="81"/>
    <n v="38"/>
    <x v="300"/>
    <n v="292.41000000000003"/>
  </r>
  <r>
    <n v="1407"/>
    <x v="135"/>
    <n v="4"/>
    <x v="1"/>
    <s v="123 4th Street"/>
    <x v="1"/>
    <x v="1"/>
    <n v="99999"/>
    <s v="USA"/>
    <x v="1"/>
    <x v="1"/>
    <d v="2014-12-06T00:00:00"/>
    <s v="Shipping Company A"/>
    <s v="Christina Lee"/>
    <s v="123 4th Street"/>
    <x v="1"/>
    <s v="NY"/>
    <n v="99999"/>
    <s v="USA"/>
    <s v="Credit Card"/>
    <s v="Long Grain Rice"/>
    <x v="14"/>
    <n v="7"/>
    <n v="42"/>
    <x v="108"/>
    <n v="29.106000000000002"/>
  </r>
  <r>
    <n v="1409"/>
    <x v="137"/>
    <n v="8"/>
    <x v="3"/>
    <s v="123 8th Street"/>
    <x v="2"/>
    <x v="2"/>
    <n v="99999"/>
    <s v="USA"/>
    <x v="2"/>
    <x v="2"/>
    <d v="2014-12-10T00:00:00"/>
    <s v="Shipping Company C"/>
    <s v="Elizabeth Andersen"/>
    <s v="123 8th Street"/>
    <x v="2"/>
    <s v="OR"/>
    <n v="99999"/>
    <s v="USA"/>
    <s v="Credit Card"/>
    <s v="Mozzarella"/>
    <x v="10"/>
    <n v="34.799999999999997"/>
    <n v="100"/>
    <x v="301"/>
    <n v="344.52"/>
  </r>
  <r>
    <n v="1412"/>
    <x v="139"/>
    <n v="3"/>
    <x v="5"/>
    <s v="123 3rd Street"/>
    <x v="4"/>
    <x v="4"/>
    <n v="99999"/>
    <s v="USA"/>
    <x v="0"/>
    <x v="0"/>
    <d v="2014-12-05T00:00:00"/>
    <s v="Shipping Company B"/>
    <s v="Thomas Axerr"/>
    <s v="123 3rd Street"/>
    <x v="4"/>
    <s v="CA"/>
    <n v="99999"/>
    <s v="USA"/>
    <s v="Cash"/>
    <s v="Syrup"/>
    <x v="7"/>
    <n v="10"/>
    <n v="89"/>
    <x v="302"/>
    <n v="87.22"/>
  </r>
  <r>
    <n v="1413"/>
    <x v="139"/>
    <n v="3"/>
    <x v="5"/>
    <s v="123 3rd Street"/>
    <x v="4"/>
    <x v="4"/>
    <n v="99999"/>
    <s v="USA"/>
    <x v="0"/>
    <x v="0"/>
    <d v="2014-12-05T00:00:00"/>
    <s v="Shipping Company B"/>
    <s v="Thomas Axerr"/>
    <s v="123 3rd Street"/>
    <x v="4"/>
    <s v="CA"/>
    <n v="99999"/>
    <s v="USA"/>
    <s v="Cash"/>
    <s v="Curry Sauce"/>
    <x v="5"/>
    <n v="40"/>
    <n v="12"/>
    <x v="60"/>
    <n v="46.56"/>
  </r>
  <r>
    <n v="1417"/>
    <x v="142"/>
    <n v="10"/>
    <x v="8"/>
    <s v="123 10th Street"/>
    <x v="7"/>
    <x v="7"/>
    <n v="99999"/>
    <s v="USA"/>
    <x v="6"/>
    <x v="1"/>
    <d v="2014-12-12T00:00:00"/>
    <s v="Shipping Company B"/>
    <s v="Roland Wacker"/>
    <s v="123 10th Street"/>
    <x v="7"/>
    <s v="IL"/>
    <n v="99999"/>
    <s v="USA"/>
    <s v="Credit Card"/>
    <s v="Almonds"/>
    <x v="1"/>
    <n v="10"/>
    <n v="97"/>
    <x v="303"/>
    <n v="100.88000000000001"/>
  </r>
  <r>
    <n v="1419"/>
    <x v="142"/>
    <n v="10"/>
    <x v="8"/>
    <s v="123 10th Street"/>
    <x v="7"/>
    <x v="7"/>
    <n v="99999"/>
    <s v="USA"/>
    <x v="6"/>
    <x v="1"/>
    <m/>
    <s v="Shipping Company A"/>
    <s v="Roland Wacker"/>
    <s v="123 10th Street"/>
    <x v="7"/>
    <s v="IL"/>
    <n v="99999"/>
    <s v="USA"/>
    <m/>
    <s v="Dried Plums"/>
    <x v="1"/>
    <n v="3.5"/>
    <n v="53"/>
    <x v="304"/>
    <n v="17.622499999999999"/>
  </r>
  <r>
    <n v="1420"/>
    <x v="144"/>
    <n v="11"/>
    <x v="10"/>
    <s v="123 11th Street"/>
    <x v="9"/>
    <x v="9"/>
    <n v="99999"/>
    <s v="USA"/>
    <x v="5"/>
    <x v="3"/>
    <m/>
    <s v="Shipping Company C"/>
    <s v="Peter Krschne"/>
    <s v="123 11th Street"/>
    <x v="9"/>
    <s v="FL"/>
    <n v="99999"/>
    <s v="USA"/>
    <m/>
    <s v="Curry Sauce"/>
    <x v="5"/>
    <n v="40"/>
    <n v="61"/>
    <x v="305"/>
    <n v="248.88"/>
  </r>
  <r>
    <n v="1421"/>
    <x v="145"/>
    <n v="1"/>
    <x v="11"/>
    <s v="123 1st Street"/>
    <x v="10"/>
    <x v="10"/>
    <n v="99999"/>
    <s v="USA"/>
    <x v="2"/>
    <x v="2"/>
    <m/>
    <s v="Shipping Company C"/>
    <s v="Anna Bedecs"/>
    <s v="123 1st Street"/>
    <x v="10"/>
    <s v="WA"/>
    <n v="99999"/>
    <s v="USA"/>
    <m/>
    <s v="Crab Meat"/>
    <x v="8"/>
    <n v="18.399999999999999"/>
    <n v="45"/>
    <x v="306"/>
    <n v="81.143999999999991"/>
  </r>
  <r>
    <n v="1422"/>
    <x v="141"/>
    <n v="28"/>
    <x v="7"/>
    <s v="789 28th Street"/>
    <x v="6"/>
    <x v="6"/>
    <n v="99999"/>
    <s v="USA"/>
    <x v="5"/>
    <x v="3"/>
    <d v="2014-12-30T00:00:00"/>
    <s v="Shipping Company C"/>
    <s v="Amritansh Raghav"/>
    <s v="789 28th Street"/>
    <x v="6"/>
    <s v="TN"/>
    <n v="99999"/>
    <s v="USA"/>
    <s v="Credit Card"/>
    <s v="Coffee"/>
    <x v="0"/>
    <n v="46"/>
    <n v="43"/>
    <x v="307"/>
    <n v="197.8"/>
  </r>
  <r>
    <n v="1423"/>
    <x v="146"/>
    <n v="9"/>
    <x v="12"/>
    <s v="123 9th Street"/>
    <x v="11"/>
    <x v="11"/>
    <n v="99999"/>
    <s v="USA"/>
    <x v="7"/>
    <x v="0"/>
    <d v="2014-12-11T00:00:00"/>
    <s v="Shipping Company A"/>
    <s v="Sven Mortensen"/>
    <s v="123 9th Street"/>
    <x v="11"/>
    <s v="UT"/>
    <n v="99999"/>
    <s v="USA"/>
    <s v="Check"/>
    <s v="Clam Chowder"/>
    <x v="4"/>
    <n v="9.65"/>
    <n v="18"/>
    <x v="308"/>
    <n v="16.5015"/>
  </r>
  <r>
    <n v="1424"/>
    <x v="140"/>
    <n v="6"/>
    <x v="6"/>
    <s v="123 6th Street"/>
    <x v="5"/>
    <x v="5"/>
    <n v="99999"/>
    <s v="USA"/>
    <x v="4"/>
    <x v="2"/>
    <d v="2014-12-08T00:00:00"/>
    <s v="Shipping Company B"/>
    <s v="Francisco Pérez-Olaeta"/>
    <s v="123 6th Street"/>
    <x v="5"/>
    <s v="WI"/>
    <n v="99999"/>
    <s v="USA"/>
    <s v="Credit Card"/>
    <s v="Chocolate"/>
    <x v="3"/>
    <n v="12.75"/>
    <n v="41"/>
    <x v="87"/>
    <n v="50.706750000000007"/>
  </r>
  <r>
    <n v="1425"/>
    <x v="137"/>
    <n v="8"/>
    <x v="3"/>
    <s v="123 8th Street"/>
    <x v="2"/>
    <x v="2"/>
    <n v="99999"/>
    <s v="USA"/>
    <x v="2"/>
    <x v="2"/>
    <n v="41983"/>
    <s v="Shipping Company B"/>
    <s v="Elizabeth Andersen"/>
    <s v="123 8th Street"/>
    <x v="2"/>
    <s v="OR"/>
    <n v="99999"/>
    <s v="USA"/>
    <s v="Check"/>
    <s v="Chocolate"/>
    <x v="3"/>
    <n v="12.75"/>
    <n v="19"/>
    <x v="109"/>
    <n v="23.982750000000003"/>
  </r>
  <r>
    <n v="1426"/>
    <x v="147"/>
    <n v="25"/>
    <x v="13"/>
    <s v="789 25th Street"/>
    <x v="7"/>
    <x v="7"/>
    <n v="99999"/>
    <s v="USA"/>
    <x v="6"/>
    <x v="1"/>
    <n v="42000"/>
    <s v="Shipping Company A"/>
    <s v="John Rodman"/>
    <s v="789 25th Street"/>
    <x v="7"/>
    <s v="IL"/>
    <n v="99999"/>
    <s v="USA"/>
    <s v="Cash"/>
    <s v="Cajun Seasoning"/>
    <x v="7"/>
    <n v="22"/>
    <n v="65"/>
    <x v="309"/>
    <n v="138.71"/>
  </r>
  <r>
    <n v="1427"/>
    <x v="148"/>
    <n v="26"/>
    <x v="14"/>
    <s v="789 26th Street"/>
    <x v="9"/>
    <x v="9"/>
    <n v="99999"/>
    <s v="USA"/>
    <x v="5"/>
    <x v="3"/>
    <n v="42001"/>
    <s v="Shipping Company C"/>
    <s v="Run Liu"/>
    <s v="789 26th Street"/>
    <x v="9"/>
    <s v="FL"/>
    <n v="99999"/>
    <s v="USA"/>
    <s v="Credit Card"/>
    <s v="Boysenberry Spread"/>
    <x v="6"/>
    <n v="25"/>
    <n v="13"/>
    <x v="310"/>
    <n v="32.174999999999997"/>
  </r>
  <r>
    <n v="1428"/>
    <x v="138"/>
    <n v="29"/>
    <x v="4"/>
    <s v="789 29th Street"/>
    <x v="3"/>
    <x v="3"/>
    <n v="99999"/>
    <s v="USA"/>
    <x v="3"/>
    <x v="0"/>
    <n v="42004"/>
    <s v="Shipping Company B"/>
    <s v="Soo Jung Lee"/>
    <s v="789 29th Street"/>
    <x v="3"/>
    <s v="CO"/>
    <n v="99999"/>
    <s v="USA"/>
    <s v="Check"/>
    <s v="Fruit Cocktail"/>
    <x v="12"/>
    <n v="39"/>
    <n v="54"/>
    <x v="311"/>
    <n v="214.81200000000004"/>
  </r>
  <r>
    <n v="1429"/>
    <x v="140"/>
    <n v="6"/>
    <x v="6"/>
    <s v="123 6th Street"/>
    <x v="5"/>
    <x v="5"/>
    <n v="99999"/>
    <s v="USA"/>
    <x v="4"/>
    <x v="2"/>
    <d v="2014-12-08T00:00:00"/>
    <s v="Shipping Company C"/>
    <s v="Francisco Pérez-Olaeta"/>
    <s v="123 6th Street"/>
    <x v="5"/>
    <s v="WI"/>
    <n v="99999"/>
    <s v="USA"/>
    <s v="Check"/>
    <s v="Dried Pears"/>
    <x v="1"/>
    <n v="30"/>
    <n v="33"/>
    <x v="82"/>
    <n v="95.039999999999992"/>
  </r>
  <r>
    <n v="1430"/>
    <x v="140"/>
    <n v="6"/>
    <x v="6"/>
    <s v="123 6th Street"/>
    <x v="5"/>
    <x v="5"/>
    <n v="99999"/>
    <s v="USA"/>
    <x v="4"/>
    <x v="2"/>
    <d v="2014-12-08T00:00:00"/>
    <s v="Shipping Company C"/>
    <s v="Francisco Pérez-Olaeta"/>
    <s v="123 6th Street"/>
    <x v="5"/>
    <s v="WI"/>
    <n v="99999"/>
    <s v="USA"/>
    <s v="Check"/>
    <s v="Dried Apples"/>
    <x v="1"/>
    <n v="53"/>
    <n v="34"/>
    <x v="312"/>
    <n v="185.60600000000002"/>
  </r>
  <r>
    <n v="1431"/>
    <x v="135"/>
    <n v="4"/>
    <x v="1"/>
    <s v="123 4th Street"/>
    <x v="1"/>
    <x v="1"/>
    <n v="99999"/>
    <s v="USA"/>
    <x v="1"/>
    <x v="1"/>
    <m/>
    <m/>
    <s v="Christina Lee"/>
    <s v="123 4th Street"/>
    <x v="1"/>
    <s v="NY"/>
    <n v="99999"/>
    <s v="USA"/>
    <m/>
    <s v="Gnocchi"/>
    <x v="9"/>
    <n v="38"/>
    <n v="59"/>
    <x v="313"/>
    <n v="226.44200000000001"/>
  </r>
  <r>
    <n v="1432"/>
    <x v="139"/>
    <n v="3"/>
    <x v="5"/>
    <s v="123 3rd Street"/>
    <x v="4"/>
    <x v="4"/>
    <n v="99999"/>
    <s v="USA"/>
    <x v="0"/>
    <x v="0"/>
    <m/>
    <m/>
    <s v="Thomas Axerr"/>
    <s v="123 3rd Street"/>
    <x v="4"/>
    <s v="CA"/>
    <n v="99999"/>
    <s v="USA"/>
    <m/>
    <s v="Green Tea"/>
    <x v="0"/>
    <n v="2.99"/>
    <n v="24"/>
    <x v="314"/>
    <n v="7.104240000000000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s v="NV"/>
    <n v="99999"/>
    <s v="USA"/>
    <x v="0"/>
    <x v="0"/>
    <d v="2014-01-29T00:00:00"/>
    <s v="Shipping Company B"/>
    <s v="Karen Toh"/>
    <s v="789 27th Street"/>
    <x v="0"/>
    <s v="NV"/>
    <n v="99999"/>
    <s v="USA"/>
    <s v="Check"/>
    <x v="0"/>
    <x v="0"/>
    <n v="14"/>
    <n v="49"/>
    <x v="0"/>
    <n v="66.542000000000002"/>
  </r>
  <r>
    <n v="1002"/>
    <x v="0"/>
    <n v="27"/>
    <x v="0"/>
    <s v="789 27th Street"/>
    <x v="0"/>
    <s v="NV"/>
    <n v="99999"/>
    <s v="USA"/>
    <x v="0"/>
    <x v="0"/>
    <d v="2014-01-29T00:00:00"/>
    <s v="Shipping Company B"/>
    <s v="Karen Toh"/>
    <s v="789 27th Street"/>
    <x v="0"/>
    <s v="NV"/>
    <n v="99999"/>
    <s v="USA"/>
    <s v="Check"/>
    <x v="1"/>
    <x v="1"/>
    <n v="3.5"/>
    <n v="47"/>
    <x v="1"/>
    <n v="16.6145"/>
  </r>
  <r>
    <n v="1003"/>
    <x v="1"/>
    <n v="4"/>
    <x v="1"/>
    <s v="123 4th Street"/>
    <x v="1"/>
    <s v="NY"/>
    <n v="99999"/>
    <s v="USA"/>
    <x v="1"/>
    <x v="1"/>
    <d v="2014-01-06T00:00:00"/>
    <s v="Shipping Company A"/>
    <s v="Christina Lee"/>
    <s v="123 4th Street"/>
    <x v="1"/>
    <s v="NY"/>
    <n v="99999"/>
    <s v="USA"/>
    <s v="Credit Card"/>
    <x v="2"/>
    <x v="1"/>
    <n v="30"/>
    <n v="69"/>
    <x v="2"/>
    <n v="198.72"/>
  </r>
  <r>
    <n v="1004"/>
    <x v="1"/>
    <n v="4"/>
    <x v="1"/>
    <s v="123 4th Street"/>
    <x v="1"/>
    <s v="NY"/>
    <n v="99999"/>
    <s v="USA"/>
    <x v="1"/>
    <x v="1"/>
    <d v="2014-01-06T00:00:00"/>
    <s v="Shipping Company A"/>
    <s v="Christina Lee"/>
    <s v="123 4th Street"/>
    <x v="1"/>
    <s v="NY"/>
    <n v="99999"/>
    <s v="USA"/>
    <s v="Credit Card"/>
    <x v="3"/>
    <x v="1"/>
    <n v="53"/>
    <n v="89"/>
    <x v="3"/>
    <n v="448.11500000000001"/>
  </r>
  <r>
    <n v="1005"/>
    <x v="1"/>
    <n v="4"/>
    <x v="1"/>
    <s v="123 4th Street"/>
    <x v="1"/>
    <s v="NY"/>
    <n v="99999"/>
    <s v="USA"/>
    <x v="1"/>
    <x v="1"/>
    <d v="2014-01-06T00:00:00"/>
    <s v="Shipping Company A"/>
    <s v="Christina Lee"/>
    <s v="123 4th Street"/>
    <x v="1"/>
    <s v="NY"/>
    <n v="99999"/>
    <s v="USA"/>
    <s v="Credit Card"/>
    <x v="1"/>
    <x v="1"/>
    <n v="3.5"/>
    <n v="11"/>
    <x v="4"/>
    <n v="3.7345000000000002"/>
  </r>
  <r>
    <n v="1006"/>
    <x v="2"/>
    <n v="12"/>
    <x v="2"/>
    <s v="123 12th Street"/>
    <x v="0"/>
    <s v="NV"/>
    <n v="99999"/>
    <s v="USA"/>
    <x v="0"/>
    <x v="0"/>
    <d v="2014-01-14T00:00:00"/>
    <s v="Shipping Company B"/>
    <s v="John Edwards"/>
    <s v="123 12th Street"/>
    <x v="0"/>
    <s v="NV"/>
    <n v="99999"/>
    <s v="USA"/>
    <s v="Credit Card"/>
    <x v="4"/>
    <x v="0"/>
    <n v="18"/>
    <n v="81"/>
    <x v="5"/>
    <n v="141.42600000000002"/>
  </r>
  <r>
    <n v="1007"/>
    <x v="2"/>
    <n v="12"/>
    <x v="2"/>
    <s v="123 12th Street"/>
    <x v="0"/>
    <s v="NV"/>
    <n v="99999"/>
    <s v="USA"/>
    <x v="0"/>
    <x v="0"/>
    <d v="2014-01-14T00:00:00"/>
    <s v="Shipping Company B"/>
    <s v="John Edwards"/>
    <s v="123 12th Street"/>
    <x v="0"/>
    <s v="NV"/>
    <n v="99999"/>
    <s v="USA"/>
    <s v="Credit Card"/>
    <x v="5"/>
    <x v="0"/>
    <n v="46"/>
    <n v="44"/>
    <x v="6"/>
    <n v="198.352"/>
  </r>
  <r>
    <n v="1008"/>
    <x v="3"/>
    <n v="8"/>
    <x v="3"/>
    <s v="123 8th Street"/>
    <x v="2"/>
    <s v="OR"/>
    <n v="99999"/>
    <s v="USA"/>
    <x v="2"/>
    <x v="2"/>
    <d v="2014-01-10T00:00:00"/>
    <s v="Shipping Company C"/>
    <s v="Elizabeth Andersen"/>
    <s v="123 8th Street"/>
    <x v="2"/>
    <s v="OR"/>
    <n v="99999"/>
    <s v="USA"/>
    <s v="Credit Card"/>
    <x v="6"/>
    <x v="2"/>
    <n v="9.1999999999999993"/>
    <n v="38"/>
    <x v="7"/>
    <n v="36.008800000000001"/>
  </r>
  <r>
    <n v="1009"/>
    <x v="1"/>
    <n v="4"/>
    <x v="1"/>
    <s v="123 4th Street"/>
    <x v="1"/>
    <s v="NY"/>
    <n v="99999"/>
    <s v="USA"/>
    <x v="1"/>
    <x v="1"/>
    <d v="2014-01-06T00:00:00"/>
    <s v="Shipping Company C"/>
    <s v="Christina Lee"/>
    <s v="123 4th Street"/>
    <x v="1"/>
    <s v="NY"/>
    <n v="99999"/>
    <s v="USA"/>
    <s v="Check"/>
    <x v="6"/>
    <x v="2"/>
    <n v="9.1999999999999993"/>
    <n v="88"/>
    <x v="8"/>
    <n v="79.340799999999987"/>
  </r>
  <r>
    <n v="1010"/>
    <x v="4"/>
    <n v="29"/>
    <x v="4"/>
    <s v="789 29th Street"/>
    <x v="3"/>
    <s v="CO"/>
    <n v="99999"/>
    <s v="USA"/>
    <x v="3"/>
    <x v="0"/>
    <d v="2014-01-31T00:00:00"/>
    <s v="Shipping Company B"/>
    <s v="Soo Jung Lee"/>
    <s v="789 29th Street"/>
    <x v="3"/>
    <s v="CO"/>
    <n v="99999"/>
    <s v="USA"/>
    <s v="Check"/>
    <x v="7"/>
    <x v="3"/>
    <n v="12.75"/>
    <n v="94"/>
    <x v="9"/>
    <n v="122.24700000000001"/>
  </r>
  <r>
    <n v="1011"/>
    <x v="5"/>
    <n v="3"/>
    <x v="5"/>
    <s v="123 3rd Street"/>
    <x v="4"/>
    <s v="CA"/>
    <n v="99999"/>
    <s v="USA"/>
    <x v="0"/>
    <x v="0"/>
    <d v="2014-01-05T00:00:00"/>
    <s v="Shipping Company B"/>
    <s v="Thomas Axerr"/>
    <s v="123 3rd Street"/>
    <x v="4"/>
    <s v="CA"/>
    <n v="99999"/>
    <s v="USA"/>
    <s v="Cash"/>
    <x v="8"/>
    <x v="4"/>
    <n v="9.65"/>
    <n v="91"/>
    <x v="10"/>
    <n v="92.205749999999995"/>
  </r>
  <r>
    <n v="1012"/>
    <x v="6"/>
    <n v="6"/>
    <x v="6"/>
    <s v="123 6th Street"/>
    <x v="5"/>
    <s v="WI"/>
    <n v="99999"/>
    <s v="USA"/>
    <x v="4"/>
    <x v="2"/>
    <d v="2014-01-08T00:00:00"/>
    <s v="Shipping Company B"/>
    <s v="Francisco Pérez-Olaeta"/>
    <s v="123 6th Street"/>
    <x v="5"/>
    <s v="WI"/>
    <n v="99999"/>
    <s v="USA"/>
    <s v="Credit Card"/>
    <x v="9"/>
    <x v="5"/>
    <n v="40"/>
    <n v="32"/>
    <x v="11"/>
    <n v="133.12"/>
  </r>
  <r>
    <n v="1013"/>
    <x v="7"/>
    <n v="28"/>
    <x v="7"/>
    <s v="789 28th Street"/>
    <x v="6"/>
    <s v="TN"/>
    <n v="99999"/>
    <s v="USA"/>
    <x v="5"/>
    <x v="3"/>
    <d v="2014-01-30T00:00:00"/>
    <s v="Shipping Company C"/>
    <s v="Amritansh Raghav"/>
    <s v="789 28th Street"/>
    <x v="6"/>
    <s v="TN"/>
    <n v="99999"/>
    <s v="USA"/>
    <s v="Check"/>
    <x v="5"/>
    <x v="0"/>
    <n v="46"/>
    <n v="55"/>
    <x v="12"/>
    <n v="253"/>
  </r>
  <r>
    <n v="1014"/>
    <x v="3"/>
    <n v="8"/>
    <x v="3"/>
    <s v="123 8th Street"/>
    <x v="2"/>
    <s v="OR"/>
    <n v="99999"/>
    <s v="USA"/>
    <x v="2"/>
    <x v="2"/>
    <d v="2014-01-10T00:00:00"/>
    <s v="Shipping Company C"/>
    <s v="Elizabeth Andersen"/>
    <s v="123 8th Street"/>
    <x v="2"/>
    <s v="OR"/>
    <n v="99999"/>
    <s v="USA"/>
    <s v="Check"/>
    <x v="7"/>
    <x v="3"/>
    <n v="12.75"/>
    <n v="47"/>
    <x v="13"/>
    <n v="61.722750000000005"/>
  </r>
  <r>
    <n v="1015"/>
    <x v="8"/>
    <n v="10"/>
    <x v="8"/>
    <s v="123 10th Street"/>
    <x v="7"/>
    <s v="IL"/>
    <n v="99999"/>
    <s v="USA"/>
    <x v="6"/>
    <x v="1"/>
    <d v="2014-01-12T00:00:00"/>
    <s v="Shipping Company B"/>
    <s v="Roland Wacker"/>
    <s v="123 10th Street"/>
    <x v="7"/>
    <s v="IL"/>
    <n v="99999"/>
    <s v="USA"/>
    <s v="Credit Card"/>
    <x v="10"/>
    <x v="0"/>
    <n v="2.99"/>
    <n v="90"/>
    <x v="14"/>
    <n v="27.717300000000005"/>
  </r>
  <r>
    <n v="1016"/>
    <x v="9"/>
    <n v="7"/>
    <x v="9"/>
    <s v="123 7th Street"/>
    <x v="8"/>
    <s v="ID"/>
    <n v="99999"/>
    <s v="USA"/>
    <x v="2"/>
    <x v="2"/>
    <m/>
    <m/>
    <s v="Ming-Yang Xie"/>
    <s v="123 7th Street"/>
    <x v="8"/>
    <s v="ID"/>
    <n v="99999"/>
    <s v="USA"/>
    <m/>
    <x v="5"/>
    <x v="0"/>
    <n v="46"/>
    <n v="24"/>
    <x v="15"/>
    <n v="110.4"/>
  </r>
  <r>
    <n v="1017"/>
    <x v="8"/>
    <n v="10"/>
    <x v="8"/>
    <s v="123 10th Street"/>
    <x v="7"/>
    <s v="IL"/>
    <n v="99999"/>
    <s v="USA"/>
    <x v="6"/>
    <x v="1"/>
    <d v="2014-01-12T00:00:00"/>
    <s v="Shipping Company A"/>
    <s v="Roland Wacker"/>
    <s v="123 10th Street"/>
    <x v="7"/>
    <s v="IL"/>
    <n v="99999"/>
    <s v="USA"/>
    <m/>
    <x v="11"/>
    <x v="6"/>
    <n v="25"/>
    <n v="34"/>
    <x v="16"/>
    <n v="80.75"/>
  </r>
  <r>
    <n v="1018"/>
    <x v="8"/>
    <n v="10"/>
    <x v="8"/>
    <s v="123 10th Street"/>
    <x v="7"/>
    <s v="IL"/>
    <n v="99999"/>
    <s v="USA"/>
    <x v="6"/>
    <x v="1"/>
    <d v="2014-01-12T00:00:00"/>
    <s v="Shipping Company A"/>
    <s v="Roland Wacker"/>
    <s v="123 10th Street"/>
    <x v="7"/>
    <s v="IL"/>
    <n v="99999"/>
    <s v="USA"/>
    <m/>
    <x v="12"/>
    <x v="7"/>
    <n v="22"/>
    <n v="17"/>
    <x v="17"/>
    <n v="35.903999999999996"/>
  </r>
  <r>
    <n v="1019"/>
    <x v="8"/>
    <n v="10"/>
    <x v="8"/>
    <s v="123 10th Street"/>
    <x v="7"/>
    <s v="IL"/>
    <n v="99999"/>
    <s v="USA"/>
    <x v="6"/>
    <x v="1"/>
    <d v="2014-01-12T00:00:00"/>
    <s v="Shipping Company A"/>
    <s v="Roland Wacker"/>
    <s v="123 10th Street"/>
    <x v="7"/>
    <s v="IL"/>
    <n v="99999"/>
    <s v="USA"/>
    <m/>
    <x v="6"/>
    <x v="2"/>
    <n v="9.1999999999999993"/>
    <n v="44"/>
    <x v="18"/>
    <n v="42.099199999999996"/>
  </r>
  <r>
    <n v="1020"/>
    <x v="10"/>
    <n v="11"/>
    <x v="10"/>
    <s v="123 11th Street"/>
    <x v="9"/>
    <s v="FL"/>
    <n v="99999"/>
    <s v="USA"/>
    <x v="5"/>
    <x v="3"/>
    <m/>
    <s v="Shipping Company C"/>
    <s v="Peter Krschne"/>
    <s v="123 11th Street"/>
    <x v="9"/>
    <s v="FL"/>
    <n v="99999"/>
    <s v="USA"/>
    <m/>
    <x v="1"/>
    <x v="1"/>
    <n v="3.5"/>
    <n v="81"/>
    <x v="19"/>
    <n v="27.499500000000001"/>
  </r>
  <r>
    <n v="1021"/>
    <x v="10"/>
    <n v="11"/>
    <x v="10"/>
    <s v="123 11th Street"/>
    <x v="9"/>
    <s v="FL"/>
    <n v="99999"/>
    <s v="USA"/>
    <x v="5"/>
    <x v="3"/>
    <m/>
    <s v="Shipping Company C"/>
    <s v="Peter Krschne"/>
    <s v="123 11th Street"/>
    <x v="9"/>
    <s v="FL"/>
    <n v="99999"/>
    <s v="USA"/>
    <m/>
    <x v="10"/>
    <x v="0"/>
    <n v="2.99"/>
    <n v="49"/>
    <x v="20"/>
    <n v="15.090530000000005"/>
  </r>
  <r>
    <n v="1022"/>
    <x v="11"/>
    <n v="1"/>
    <x v="11"/>
    <s v="123 1st Street"/>
    <x v="10"/>
    <s v="WA"/>
    <n v="99999"/>
    <s v="USA"/>
    <x v="2"/>
    <x v="2"/>
    <m/>
    <m/>
    <s v="Anna Bedecs"/>
    <s v="123 1st Street"/>
    <x v="10"/>
    <s v="WA"/>
    <n v="99999"/>
    <s v="USA"/>
    <m/>
    <x v="4"/>
    <x v="0"/>
    <n v="18"/>
    <n v="42"/>
    <x v="21"/>
    <n v="75.600000000000009"/>
  </r>
  <r>
    <n v="1023"/>
    <x v="11"/>
    <n v="1"/>
    <x v="11"/>
    <s v="123 1st Street"/>
    <x v="10"/>
    <s v="WA"/>
    <n v="99999"/>
    <s v="USA"/>
    <x v="2"/>
    <x v="2"/>
    <m/>
    <m/>
    <s v="Anna Bedecs"/>
    <s v="123 1st Street"/>
    <x v="10"/>
    <s v="WA"/>
    <n v="99999"/>
    <s v="USA"/>
    <m/>
    <x v="5"/>
    <x v="0"/>
    <n v="46"/>
    <n v="58"/>
    <x v="22"/>
    <n v="269.46800000000002"/>
  </r>
  <r>
    <n v="1024"/>
    <x v="11"/>
    <n v="1"/>
    <x v="11"/>
    <s v="123 1st Street"/>
    <x v="10"/>
    <s v="WA"/>
    <n v="99999"/>
    <s v="USA"/>
    <x v="2"/>
    <x v="2"/>
    <m/>
    <m/>
    <s v="Anna Bedecs"/>
    <s v="123 1st Street"/>
    <x v="10"/>
    <s v="WA"/>
    <n v="99999"/>
    <s v="USA"/>
    <m/>
    <x v="10"/>
    <x v="0"/>
    <n v="2.99"/>
    <n v="67"/>
    <x v="23"/>
    <n v="20.033000000000001"/>
  </r>
  <r>
    <n v="1025"/>
    <x v="7"/>
    <n v="28"/>
    <x v="7"/>
    <s v="789 28th Street"/>
    <x v="6"/>
    <s v="TN"/>
    <n v="99999"/>
    <s v="USA"/>
    <x v="5"/>
    <x v="3"/>
    <d v="2014-01-30T00:00:00"/>
    <s v="Shipping Company C"/>
    <s v="Amritansh Raghav"/>
    <s v="789 28th Street"/>
    <x v="6"/>
    <s v="TN"/>
    <n v="99999"/>
    <s v="USA"/>
    <s v="Credit Card"/>
    <x v="8"/>
    <x v="4"/>
    <n v="9.65"/>
    <n v="100"/>
    <x v="24"/>
    <n v="93.605000000000004"/>
  </r>
  <r>
    <n v="1026"/>
    <x v="7"/>
    <n v="28"/>
    <x v="7"/>
    <s v="789 28th Street"/>
    <x v="6"/>
    <s v="TN"/>
    <n v="99999"/>
    <s v="USA"/>
    <x v="5"/>
    <x v="3"/>
    <d v="2014-01-30T00:00:00"/>
    <s v="Shipping Company C"/>
    <s v="Amritansh Raghav"/>
    <s v="789 28th Street"/>
    <x v="6"/>
    <s v="TN"/>
    <n v="99999"/>
    <s v="USA"/>
    <s v="Credit Card"/>
    <x v="13"/>
    <x v="8"/>
    <n v="18.399999999999999"/>
    <n v="63"/>
    <x v="25"/>
    <n v="114.76079999999999"/>
  </r>
  <r>
    <n v="1027"/>
    <x v="12"/>
    <n v="9"/>
    <x v="12"/>
    <s v="123 9th Street"/>
    <x v="11"/>
    <s v="UT"/>
    <n v="99999"/>
    <s v="USA"/>
    <x v="7"/>
    <x v="0"/>
    <d v="2014-01-11T00:00:00"/>
    <s v="Shipping Company A"/>
    <s v="Sven Mortensen"/>
    <s v="123 9th Street"/>
    <x v="11"/>
    <s v="UT"/>
    <n v="99999"/>
    <s v="USA"/>
    <s v="Check"/>
    <x v="14"/>
    <x v="9"/>
    <n v="19.5"/>
    <n v="57"/>
    <x v="26"/>
    <n v="110.0385"/>
  </r>
  <r>
    <n v="1028"/>
    <x v="12"/>
    <n v="9"/>
    <x v="12"/>
    <s v="123 9th Street"/>
    <x v="11"/>
    <s v="UT"/>
    <n v="99999"/>
    <s v="USA"/>
    <x v="7"/>
    <x v="0"/>
    <d v="2014-01-11T00:00:00"/>
    <s v="Shipping Company A"/>
    <s v="Sven Mortensen"/>
    <s v="123 9th Street"/>
    <x v="11"/>
    <s v="UT"/>
    <n v="99999"/>
    <s v="USA"/>
    <s v="Check"/>
    <x v="15"/>
    <x v="10"/>
    <n v="34.799999999999997"/>
    <n v="81"/>
    <x v="27"/>
    <n v="295.97399999999999"/>
  </r>
  <r>
    <n v="1029"/>
    <x v="6"/>
    <n v="6"/>
    <x v="6"/>
    <s v="123 6th Street"/>
    <x v="5"/>
    <s v="WI"/>
    <n v="99999"/>
    <s v="USA"/>
    <x v="4"/>
    <x v="2"/>
    <d v="2014-01-08T00:00:00"/>
    <s v="Shipping Company B"/>
    <s v="Francisco Pérez-Olaeta"/>
    <s v="123 6th Street"/>
    <x v="5"/>
    <s v="WI"/>
    <n v="99999"/>
    <s v="USA"/>
    <s v="Credit Card"/>
    <x v="0"/>
    <x v="0"/>
    <n v="14"/>
    <n v="71"/>
    <x v="28"/>
    <n v="95.424000000000007"/>
  </r>
  <r>
    <n v="1030"/>
    <x v="13"/>
    <n v="8"/>
    <x v="3"/>
    <s v="123 8th Street"/>
    <x v="2"/>
    <s v="OR"/>
    <n v="99999"/>
    <s v="USA"/>
    <x v="2"/>
    <x v="2"/>
    <d v="2014-02-10T00:00:00"/>
    <s v="Shipping Company B"/>
    <s v="Elizabeth Andersen"/>
    <s v="123 8th Street"/>
    <x v="2"/>
    <s v="OR"/>
    <n v="99999"/>
    <s v="USA"/>
    <s v="Check"/>
    <x v="9"/>
    <x v="5"/>
    <n v="40"/>
    <n v="32"/>
    <x v="11"/>
    <n v="129.28"/>
  </r>
  <r>
    <n v="1031"/>
    <x v="14"/>
    <n v="3"/>
    <x v="5"/>
    <s v="123 3rd Street"/>
    <x v="4"/>
    <s v="CA"/>
    <n v="99999"/>
    <s v="USA"/>
    <x v="0"/>
    <x v="0"/>
    <d v="2014-02-05T00:00:00"/>
    <s v="Shipping Company B"/>
    <s v="Thomas Axerr"/>
    <s v="123 3rd Street"/>
    <x v="4"/>
    <s v="CA"/>
    <n v="99999"/>
    <s v="USA"/>
    <s v="Cash"/>
    <x v="16"/>
    <x v="7"/>
    <n v="10"/>
    <n v="63"/>
    <x v="29"/>
    <n v="65.52"/>
  </r>
  <r>
    <n v="1032"/>
    <x v="14"/>
    <n v="3"/>
    <x v="5"/>
    <s v="123 3rd Street"/>
    <x v="4"/>
    <s v="CA"/>
    <n v="99999"/>
    <s v="USA"/>
    <x v="0"/>
    <x v="0"/>
    <d v="2014-02-05T00:00:00"/>
    <s v="Shipping Company B"/>
    <s v="Thomas Axerr"/>
    <s v="123 3rd Street"/>
    <x v="4"/>
    <s v="CA"/>
    <n v="99999"/>
    <s v="USA"/>
    <s v="Cash"/>
    <x v="9"/>
    <x v="5"/>
    <n v="40"/>
    <n v="30"/>
    <x v="30"/>
    <n v="120"/>
  </r>
  <r>
    <n v="1033"/>
    <x v="15"/>
    <n v="6"/>
    <x v="6"/>
    <s v="123 6th Street"/>
    <x v="5"/>
    <s v="WI"/>
    <n v="99999"/>
    <s v="USA"/>
    <x v="4"/>
    <x v="2"/>
    <d v="2014-02-08T00:00:00"/>
    <s v="Shipping Company B"/>
    <s v="Francisco Pérez-Olaeta"/>
    <s v="123 6th Street"/>
    <x v="5"/>
    <s v="WI"/>
    <n v="99999"/>
    <s v="USA"/>
    <s v="Credit Card"/>
    <x v="17"/>
    <x v="11"/>
    <m/>
    <m/>
    <x v="31"/>
    <n v="43"/>
  </r>
  <r>
    <n v="1034"/>
    <x v="16"/>
    <n v="28"/>
    <x v="7"/>
    <s v="789 28th Street"/>
    <x v="6"/>
    <s v="TN"/>
    <n v="99999"/>
    <s v="USA"/>
    <x v="5"/>
    <x v="3"/>
    <d v="2014-03-02T00:00:00"/>
    <s v="Shipping Company C"/>
    <s v="Amritansh Raghav"/>
    <s v="789 28th Street"/>
    <x v="6"/>
    <s v="TN"/>
    <n v="99999"/>
    <s v="USA"/>
    <s v="Check"/>
    <x v="17"/>
    <x v="11"/>
    <m/>
    <m/>
    <x v="31"/>
    <n v="31"/>
  </r>
  <r>
    <n v="1035"/>
    <x v="13"/>
    <n v="8"/>
    <x v="3"/>
    <s v="123 8th Street"/>
    <x v="2"/>
    <s v="OR"/>
    <n v="99999"/>
    <s v="USA"/>
    <x v="2"/>
    <x v="2"/>
    <d v="2014-02-10T00:00:00"/>
    <s v="Shipping Company C"/>
    <s v="Elizabeth Andersen"/>
    <s v="123 8th Street"/>
    <x v="2"/>
    <s v="OR"/>
    <n v="99999"/>
    <s v="USA"/>
    <s v="Check"/>
    <x v="17"/>
    <x v="11"/>
    <m/>
    <m/>
    <x v="31"/>
    <n v="46"/>
  </r>
  <r>
    <n v="1036"/>
    <x v="17"/>
    <n v="10"/>
    <x v="8"/>
    <s v="123 10th Street"/>
    <x v="7"/>
    <s v="IL"/>
    <n v="99999"/>
    <s v="USA"/>
    <x v="6"/>
    <x v="1"/>
    <d v="2014-02-12T00:00:00"/>
    <s v="Shipping Company B"/>
    <s v="Roland Wacker"/>
    <s v="123 10th Street"/>
    <x v="7"/>
    <s v="IL"/>
    <n v="99999"/>
    <s v="USA"/>
    <s v="Credit Card"/>
    <x v="18"/>
    <x v="1"/>
    <n v="10"/>
    <n v="47"/>
    <x v="32"/>
    <n v="48.88"/>
  </r>
  <r>
    <n v="1038"/>
    <x v="17"/>
    <n v="10"/>
    <x v="8"/>
    <s v="123 10th Street"/>
    <x v="7"/>
    <s v="IL"/>
    <n v="99999"/>
    <s v="USA"/>
    <x v="6"/>
    <x v="1"/>
    <m/>
    <s v="Shipping Company A"/>
    <s v="Roland Wacker"/>
    <s v="123 10th Street"/>
    <x v="7"/>
    <s v="IL"/>
    <n v="99999"/>
    <s v="USA"/>
    <m/>
    <x v="1"/>
    <x v="1"/>
    <n v="3.5"/>
    <n v="49"/>
    <x v="33"/>
    <n v="16.464000000000002"/>
  </r>
  <r>
    <n v="1039"/>
    <x v="18"/>
    <n v="11"/>
    <x v="10"/>
    <s v="123 11th Street"/>
    <x v="9"/>
    <s v="FL"/>
    <n v="99999"/>
    <s v="USA"/>
    <x v="5"/>
    <x v="3"/>
    <m/>
    <s v="Shipping Company C"/>
    <s v="Peter Krschne"/>
    <s v="123 11th Street"/>
    <x v="9"/>
    <s v="FL"/>
    <n v="99999"/>
    <s v="USA"/>
    <m/>
    <x v="9"/>
    <x v="5"/>
    <n v="40"/>
    <n v="72"/>
    <x v="34"/>
    <n v="285.12"/>
  </r>
  <r>
    <n v="1040"/>
    <x v="19"/>
    <n v="1"/>
    <x v="11"/>
    <s v="123 1st Street"/>
    <x v="10"/>
    <s v="WA"/>
    <n v="99999"/>
    <s v="USA"/>
    <x v="2"/>
    <x v="2"/>
    <m/>
    <s v="Shipping Company C"/>
    <s v="Anna Bedecs"/>
    <s v="123 1st Street"/>
    <x v="10"/>
    <s v="WA"/>
    <n v="99999"/>
    <s v="USA"/>
    <m/>
    <x v="13"/>
    <x v="8"/>
    <n v="18.399999999999999"/>
    <n v="13"/>
    <x v="35"/>
    <n v="23.680800000000001"/>
  </r>
  <r>
    <n v="1041"/>
    <x v="16"/>
    <n v="28"/>
    <x v="7"/>
    <s v="789 28th Street"/>
    <x v="6"/>
    <s v="TN"/>
    <n v="99999"/>
    <s v="USA"/>
    <x v="5"/>
    <x v="3"/>
    <n v="41700"/>
    <s v="Shipping Company C"/>
    <s v="Amritansh Raghav"/>
    <s v="789 28th Street"/>
    <x v="6"/>
    <s v="TN"/>
    <n v="99999"/>
    <s v="USA"/>
    <s v="Credit Card"/>
    <x v="5"/>
    <x v="0"/>
    <n v="46"/>
    <n v="32"/>
    <x v="36"/>
    <n v="148.67200000000003"/>
  </r>
  <r>
    <n v="1042"/>
    <x v="20"/>
    <n v="9"/>
    <x v="12"/>
    <s v="123 9th Street"/>
    <x v="11"/>
    <s v="UT"/>
    <n v="99999"/>
    <s v="USA"/>
    <x v="7"/>
    <x v="0"/>
    <d v="2014-02-11T00:00:00"/>
    <s v="Shipping Company A"/>
    <s v="Sven Mortensen"/>
    <s v="123 9th Street"/>
    <x v="11"/>
    <s v="UT"/>
    <n v="99999"/>
    <s v="USA"/>
    <s v="Check"/>
    <x v="8"/>
    <x v="4"/>
    <n v="9.65"/>
    <n v="27"/>
    <x v="37"/>
    <n v="24.752250000000004"/>
  </r>
  <r>
    <n v="1043"/>
    <x v="15"/>
    <n v="6"/>
    <x v="6"/>
    <s v="123 6th Street"/>
    <x v="5"/>
    <s v="WI"/>
    <n v="99999"/>
    <s v="USA"/>
    <x v="4"/>
    <x v="2"/>
    <d v="2014-02-08T00:00:00"/>
    <s v="Shipping Company B"/>
    <s v="Francisco Pérez-Olaeta"/>
    <s v="123 6th Street"/>
    <x v="5"/>
    <s v="WI"/>
    <n v="99999"/>
    <s v="USA"/>
    <s v="Credit Card"/>
    <x v="7"/>
    <x v="3"/>
    <n v="12.75"/>
    <n v="71"/>
    <x v="38"/>
    <n v="91.430250000000001"/>
  </r>
  <r>
    <n v="1044"/>
    <x v="13"/>
    <n v="8"/>
    <x v="3"/>
    <s v="123 8th Street"/>
    <x v="2"/>
    <s v="OR"/>
    <n v="99999"/>
    <s v="USA"/>
    <x v="2"/>
    <x v="2"/>
    <d v="2014-02-10T00:00:00"/>
    <s v="Shipping Company B"/>
    <s v="Elizabeth Andersen"/>
    <s v="123 8th Street"/>
    <x v="2"/>
    <s v="OR"/>
    <n v="99999"/>
    <s v="USA"/>
    <s v="Check"/>
    <x v="7"/>
    <x v="3"/>
    <n v="12.75"/>
    <n v="13"/>
    <x v="39"/>
    <n v="15.746249999999998"/>
  </r>
  <r>
    <n v="1045"/>
    <x v="21"/>
    <n v="25"/>
    <x v="13"/>
    <s v="789 25th Street"/>
    <x v="7"/>
    <s v="IL"/>
    <n v="99999"/>
    <s v="USA"/>
    <x v="6"/>
    <x v="1"/>
    <d v="2014-02-27T00:00:00"/>
    <s v="Shipping Company A"/>
    <s v="John Rodman"/>
    <s v="789 25th Street"/>
    <x v="7"/>
    <s v="IL"/>
    <n v="99999"/>
    <s v="USA"/>
    <s v="Cash"/>
    <x v="12"/>
    <x v="7"/>
    <n v="22"/>
    <n v="98"/>
    <x v="40"/>
    <n v="204.82000000000002"/>
  </r>
  <r>
    <n v="1046"/>
    <x v="22"/>
    <n v="26"/>
    <x v="14"/>
    <s v="789 26th Street"/>
    <x v="9"/>
    <s v="FL"/>
    <n v="99999"/>
    <s v="USA"/>
    <x v="5"/>
    <x v="3"/>
    <d v="2014-02-28T00:00:00"/>
    <s v="Shipping Company C"/>
    <s v="Run Liu"/>
    <s v="789 26th Street"/>
    <x v="9"/>
    <s v="FL"/>
    <n v="99999"/>
    <s v="USA"/>
    <s v="Credit Card"/>
    <x v="11"/>
    <x v="6"/>
    <n v="25"/>
    <n v="21"/>
    <x v="41"/>
    <n v="53.550000000000004"/>
  </r>
  <r>
    <n v="1047"/>
    <x v="23"/>
    <n v="29"/>
    <x v="4"/>
    <s v="789 29th Street"/>
    <x v="3"/>
    <s v="CO"/>
    <n v="99999"/>
    <s v="USA"/>
    <x v="3"/>
    <x v="0"/>
    <d v="2014-03-03T00:00:00"/>
    <s v="Shipping Company B"/>
    <s v="Soo Jung Lee"/>
    <s v="789 29th Street"/>
    <x v="3"/>
    <s v="CO"/>
    <n v="99999"/>
    <s v="USA"/>
    <s v="Check"/>
    <x v="19"/>
    <x v="12"/>
    <n v="39"/>
    <n v="26"/>
    <x v="42"/>
    <n v="106.47000000000001"/>
  </r>
  <r>
    <n v="1048"/>
    <x v="15"/>
    <n v="6"/>
    <x v="6"/>
    <s v="123 6th Street"/>
    <x v="5"/>
    <s v="WI"/>
    <n v="99999"/>
    <s v="USA"/>
    <x v="4"/>
    <x v="2"/>
    <d v="2014-02-08T00:00:00"/>
    <s v="Shipping Company C"/>
    <s v="Francisco Pérez-Olaeta"/>
    <s v="123 6th Street"/>
    <x v="5"/>
    <s v="WI"/>
    <n v="99999"/>
    <s v="USA"/>
    <s v="Check"/>
    <x v="2"/>
    <x v="1"/>
    <n v="30"/>
    <n v="96"/>
    <x v="34"/>
    <n v="296.64"/>
  </r>
  <r>
    <n v="1049"/>
    <x v="15"/>
    <n v="6"/>
    <x v="6"/>
    <s v="123 6th Street"/>
    <x v="5"/>
    <s v="WI"/>
    <n v="99999"/>
    <s v="USA"/>
    <x v="4"/>
    <x v="2"/>
    <d v="2014-02-08T00:00:00"/>
    <s v="Shipping Company C"/>
    <s v="Francisco Pérez-Olaeta"/>
    <s v="123 6th Street"/>
    <x v="5"/>
    <s v="WI"/>
    <n v="99999"/>
    <s v="USA"/>
    <s v="Check"/>
    <x v="3"/>
    <x v="1"/>
    <n v="53"/>
    <n v="16"/>
    <x v="43"/>
    <n v="88.192000000000021"/>
  </r>
  <r>
    <n v="1050"/>
    <x v="24"/>
    <n v="4"/>
    <x v="1"/>
    <s v="123 4th Street"/>
    <x v="1"/>
    <s v="NY"/>
    <n v="99999"/>
    <s v="USA"/>
    <x v="1"/>
    <x v="1"/>
    <m/>
    <m/>
    <s v="Christina Lee"/>
    <s v="123 4th Street"/>
    <x v="1"/>
    <s v="NY"/>
    <n v="99999"/>
    <s v="USA"/>
    <m/>
    <x v="20"/>
    <x v="9"/>
    <n v="38"/>
    <n v="96"/>
    <x v="44"/>
    <n v="346.56"/>
  </r>
  <r>
    <n v="1051"/>
    <x v="14"/>
    <n v="3"/>
    <x v="5"/>
    <s v="123 3rd Street"/>
    <x v="4"/>
    <s v="CA"/>
    <n v="99999"/>
    <s v="USA"/>
    <x v="0"/>
    <x v="0"/>
    <m/>
    <m/>
    <s v="Thomas Axerr"/>
    <s v="123 3rd Street"/>
    <x v="4"/>
    <s v="CA"/>
    <n v="99999"/>
    <s v="USA"/>
    <m/>
    <x v="10"/>
    <x v="0"/>
    <n v="2.99"/>
    <n v="75"/>
    <x v="45"/>
    <n v="23.097750000000005"/>
  </r>
  <r>
    <n v="1052"/>
    <x v="25"/>
    <n v="9"/>
    <x v="12"/>
    <s v="123 9th Street"/>
    <x v="11"/>
    <s v="UT"/>
    <n v="99999"/>
    <s v="USA"/>
    <x v="7"/>
    <x v="0"/>
    <n v="41709"/>
    <s v="Shipping Company A"/>
    <s v="Sven Mortensen"/>
    <s v="123 9th Street"/>
    <x v="11"/>
    <s v="UT"/>
    <n v="99999"/>
    <s v="USA"/>
    <s v="Check"/>
    <x v="14"/>
    <x v="9"/>
    <n v="19.5"/>
    <n v="55"/>
    <x v="46"/>
    <n v="108.32250000000001"/>
  </r>
  <r>
    <n v="1053"/>
    <x v="25"/>
    <n v="9"/>
    <x v="12"/>
    <s v="123 9th Street"/>
    <x v="11"/>
    <s v="UT"/>
    <n v="99999"/>
    <s v="USA"/>
    <x v="7"/>
    <x v="0"/>
    <d v="2014-03-11T00:00:00"/>
    <s v="Shipping Company A"/>
    <s v="Sven Mortensen"/>
    <s v="123 9th Street"/>
    <x v="11"/>
    <s v="UT"/>
    <n v="99999"/>
    <s v="USA"/>
    <s v="Check"/>
    <x v="15"/>
    <x v="10"/>
    <n v="34.799999999999997"/>
    <n v="11"/>
    <x v="47"/>
    <n v="36.748799999999996"/>
  </r>
  <r>
    <n v="1054"/>
    <x v="26"/>
    <n v="6"/>
    <x v="6"/>
    <s v="123 6th Street"/>
    <x v="5"/>
    <s v="WI"/>
    <n v="99999"/>
    <s v="USA"/>
    <x v="4"/>
    <x v="2"/>
    <d v="2014-03-08T00:00:00"/>
    <s v="Shipping Company B"/>
    <s v="Francisco Pérez-Olaeta"/>
    <s v="123 6th Street"/>
    <x v="5"/>
    <s v="WI"/>
    <n v="99999"/>
    <s v="USA"/>
    <s v="Credit Card"/>
    <x v="0"/>
    <x v="0"/>
    <n v="14"/>
    <n v="53"/>
    <x v="48"/>
    <n v="71.974000000000004"/>
  </r>
  <r>
    <n v="1055"/>
    <x v="27"/>
    <n v="8"/>
    <x v="3"/>
    <s v="123 8th Street"/>
    <x v="2"/>
    <s v="OR"/>
    <n v="99999"/>
    <s v="USA"/>
    <x v="2"/>
    <x v="2"/>
    <d v="2014-03-10T00:00:00"/>
    <s v="Shipping Company B"/>
    <s v="Elizabeth Andersen"/>
    <s v="123 8th Street"/>
    <x v="2"/>
    <s v="OR"/>
    <n v="99999"/>
    <s v="USA"/>
    <s v="Check"/>
    <x v="9"/>
    <x v="5"/>
    <n v="40"/>
    <n v="85"/>
    <x v="49"/>
    <n v="357"/>
  </r>
  <r>
    <n v="1056"/>
    <x v="27"/>
    <n v="8"/>
    <x v="3"/>
    <s v="123 8th Street"/>
    <x v="2"/>
    <s v="OR"/>
    <n v="99999"/>
    <s v="USA"/>
    <x v="2"/>
    <x v="2"/>
    <d v="2014-03-10T00:00:00"/>
    <s v="Shipping Company B"/>
    <s v="Elizabeth Andersen"/>
    <s v="123 8th Street"/>
    <x v="2"/>
    <s v="OR"/>
    <n v="99999"/>
    <s v="USA"/>
    <s v="Check"/>
    <x v="6"/>
    <x v="2"/>
    <n v="9.1999999999999993"/>
    <n v="97"/>
    <x v="50"/>
    <n v="91.024800000000013"/>
  </r>
  <r>
    <n v="1057"/>
    <x v="28"/>
    <n v="25"/>
    <x v="13"/>
    <s v="789 25th Street"/>
    <x v="7"/>
    <s v="IL"/>
    <n v="99999"/>
    <s v="USA"/>
    <x v="6"/>
    <x v="1"/>
    <d v="2014-03-27T00:00:00"/>
    <s v="Shipping Company A"/>
    <s v="John Rodman"/>
    <s v="789 25th Street"/>
    <x v="7"/>
    <s v="IL"/>
    <n v="99999"/>
    <s v="USA"/>
    <s v="Cash"/>
    <x v="21"/>
    <x v="2"/>
    <n v="10"/>
    <n v="46"/>
    <x v="51"/>
    <n v="46.46"/>
  </r>
  <r>
    <n v="1058"/>
    <x v="29"/>
    <n v="26"/>
    <x v="14"/>
    <s v="789 26th Street"/>
    <x v="9"/>
    <s v="FL"/>
    <n v="99999"/>
    <s v="USA"/>
    <x v="5"/>
    <x v="3"/>
    <d v="2014-03-28T00:00:00"/>
    <s v="Shipping Company C"/>
    <s v="Run Liu"/>
    <s v="789 26th Street"/>
    <x v="9"/>
    <s v="FL"/>
    <n v="99999"/>
    <s v="USA"/>
    <s v="Credit Card"/>
    <x v="22"/>
    <x v="13"/>
    <n v="21.35"/>
    <n v="97"/>
    <x v="52"/>
    <n v="196.74025"/>
  </r>
  <r>
    <n v="1059"/>
    <x v="29"/>
    <n v="26"/>
    <x v="14"/>
    <s v="789 26th Street"/>
    <x v="9"/>
    <s v="FL"/>
    <n v="99999"/>
    <s v="USA"/>
    <x v="5"/>
    <x v="3"/>
    <d v="2014-03-28T00:00:00"/>
    <s v="Shipping Company C"/>
    <s v="Run Liu"/>
    <s v="789 26th Street"/>
    <x v="9"/>
    <s v="FL"/>
    <n v="99999"/>
    <s v="USA"/>
    <s v="Credit Card"/>
    <x v="8"/>
    <x v="4"/>
    <n v="9.65"/>
    <n v="97"/>
    <x v="53"/>
    <n v="95.477100000000021"/>
  </r>
  <r>
    <n v="1060"/>
    <x v="29"/>
    <n v="26"/>
    <x v="14"/>
    <s v="789 26th Street"/>
    <x v="9"/>
    <s v="FL"/>
    <n v="99999"/>
    <s v="USA"/>
    <x v="5"/>
    <x v="3"/>
    <d v="2014-03-28T00:00:00"/>
    <s v="Shipping Company C"/>
    <s v="Run Liu"/>
    <s v="789 26th Street"/>
    <x v="9"/>
    <s v="FL"/>
    <n v="99999"/>
    <s v="USA"/>
    <s v="Credit Card"/>
    <x v="13"/>
    <x v="8"/>
    <n v="18.399999999999999"/>
    <n v="65"/>
    <x v="54"/>
    <n v="123.18800000000002"/>
  </r>
  <r>
    <n v="1061"/>
    <x v="30"/>
    <n v="29"/>
    <x v="4"/>
    <s v="789 29th Street"/>
    <x v="3"/>
    <s v="CO"/>
    <n v="99999"/>
    <s v="USA"/>
    <x v="3"/>
    <x v="0"/>
    <d v="2014-03-31T00:00:00"/>
    <s v="Shipping Company B"/>
    <s v="Soo Jung Lee"/>
    <s v="789 29th Street"/>
    <x v="3"/>
    <s v="CO"/>
    <n v="99999"/>
    <s v="USA"/>
    <s v="Check"/>
    <x v="0"/>
    <x v="0"/>
    <n v="14"/>
    <n v="72"/>
    <x v="55"/>
    <n v="100.80000000000001"/>
  </r>
  <r>
    <n v="1062"/>
    <x v="26"/>
    <n v="6"/>
    <x v="6"/>
    <s v="123 6th Street"/>
    <x v="5"/>
    <s v="WI"/>
    <n v="99999"/>
    <s v="USA"/>
    <x v="4"/>
    <x v="2"/>
    <d v="2014-03-08T00:00:00"/>
    <s v="Shipping Company C"/>
    <s v="Francisco Pérez-Olaeta"/>
    <s v="123 6th Street"/>
    <x v="5"/>
    <s v="WI"/>
    <n v="99999"/>
    <s v="USA"/>
    <s v="Check"/>
    <x v="7"/>
    <x v="3"/>
    <n v="12.75"/>
    <n v="16"/>
    <x v="56"/>
    <n v="20.196000000000002"/>
  </r>
  <r>
    <n v="1064"/>
    <x v="31"/>
    <n v="4"/>
    <x v="1"/>
    <s v="123 4th Street"/>
    <x v="1"/>
    <s v="NY"/>
    <n v="99999"/>
    <s v="USA"/>
    <x v="1"/>
    <x v="1"/>
    <d v="2014-03-06T00:00:00"/>
    <s v="Shipping Company A"/>
    <s v="Christina Lee"/>
    <s v="123 4th Street"/>
    <x v="1"/>
    <s v="NY"/>
    <n v="99999"/>
    <s v="USA"/>
    <s v="Credit Card"/>
    <x v="23"/>
    <x v="6"/>
    <n v="81"/>
    <n v="77"/>
    <x v="57"/>
    <n v="642.41100000000006"/>
  </r>
  <r>
    <n v="1065"/>
    <x v="31"/>
    <n v="4"/>
    <x v="1"/>
    <s v="123 4th Street"/>
    <x v="1"/>
    <s v="NY"/>
    <n v="99999"/>
    <s v="USA"/>
    <x v="1"/>
    <x v="1"/>
    <d v="2014-03-06T00:00:00"/>
    <s v="Shipping Company A"/>
    <s v="Christina Lee"/>
    <s v="123 4th Street"/>
    <x v="1"/>
    <s v="NY"/>
    <n v="99999"/>
    <s v="USA"/>
    <s v="Credit Card"/>
    <x v="24"/>
    <x v="14"/>
    <n v="7"/>
    <n v="37"/>
    <x v="58"/>
    <n v="24.605"/>
  </r>
  <r>
    <n v="1067"/>
    <x v="27"/>
    <n v="8"/>
    <x v="3"/>
    <s v="123 8th Street"/>
    <x v="2"/>
    <s v="OR"/>
    <n v="99999"/>
    <s v="USA"/>
    <x v="2"/>
    <x v="2"/>
    <d v="2014-03-10T00:00:00"/>
    <s v="Shipping Company C"/>
    <s v="Elizabeth Andersen"/>
    <s v="123 8th Street"/>
    <x v="2"/>
    <s v="OR"/>
    <n v="99999"/>
    <s v="USA"/>
    <s v="Credit Card"/>
    <x v="15"/>
    <x v="10"/>
    <n v="34.799999999999997"/>
    <n v="63"/>
    <x v="59"/>
    <n v="217.04759999999999"/>
  </r>
  <r>
    <n v="1070"/>
    <x v="32"/>
    <n v="3"/>
    <x v="5"/>
    <s v="123 3rd Street"/>
    <x v="4"/>
    <s v="CA"/>
    <n v="99999"/>
    <s v="USA"/>
    <x v="0"/>
    <x v="0"/>
    <d v="2014-03-05T00:00:00"/>
    <s v="Shipping Company B"/>
    <s v="Thomas Axerr"/>
    <s v="123 3rd Street"/>
    <x v="4"/>
    <s v="CA"/>
    <n v="99999"/>
    <s v="USA"/>
    <s v="Cash"/>
    <x v="16"/>
    <x v="7"/>
    <n v="10"/>
    <n v="48"/>
    <x v="60"/>
    <n v="48"/>
  </r>
  <r>
    <n v="1071"/>
    <x v="32"/>
    <n v="3"/>
    <x v="5"/>
    <s v="123 3rd Street"/>
    <x v="4"/>
    <s v="CA"/>
    <n v="99999"/>
    <s v="USA"/>
    <x v="0"/>
    <x v="0"/>
    <d v="2014-03-05T00:00:00"/>
    <s v="Shipping Company B"/>
    <s v="Thomas Axerr"/>
    <s v="123 3rd Street"/>
    <x v="4"/>
    <s v="CA"/>
    <n v="99999"/>
    <s v="USA"/>
    <s v="Cash"/>
    <x v="9"/>
    <x v="5"/>
    <n v="40"/>
    <n v="71"/>
    <x v="61"/>
    <n v="295.36"/>
  </r>
  <r>
    <n v="1075"/>
    <x v="33"/>
    <n v="10"/>
    <x v="8"/>
    <s v="123 10th Street"/>
    <x v="7"/>
    <s v="IL"/>
    <n v="99999"/>
    <s v="USA"/>
    <x v="6"/>
    <x v="1"/>
    <d v="2014-03-12T00:00:00"/>
    <s v="Shipping Company B"/>
    <s v="Roland Wacker"/>
    <s v="123 10th Street"/>
    <x v="7"/>
    <s v="IL"/>
    <n v="99999"/>
    <s v="USA"/>
    <s v="Credit Card"/>
    <x v="18"/>
    <x v="1"/>
    <n v="10"/>
    <n v="55"/>
    <x v="62"/>
    <n v="55"/>
  </r>
  <r>
    <n v="1077"/>
    <x v="33"/>
    <n v="10"/>
    <x v="8"/>
    <s v="123 10th Street"/>
    <x v="7"/>
    <s v="IL"/>
    <n v="99999"/>
    <s v="USA"/>
    <x v="6"/>
    <x v="1"/>
    <m/>
    <s v="Shipping Company A"/>
    <s v="Roland Wacker"/>
    <s v="123 10th Street"/>
    <x v="7"/>
    <s v="IL"/>
    <n v="99999"/>
    <s v="USA"/>
    <m/>
    <x v="1"/>
    <x v="1"/>
    <n v="3.5"/>
    <n v="21"/>
    <x v="63"/>
    <n v="7.3500000000000005"/>
  </r>
  <r>
    <n v="1078"/>
    <x v="34"/>
    <n v="11"/>
    <x v="10"/>
    <s v="123 11th Street"/>
    <x v="9"/>
    <s v="FL"/>
    <n v="99999"/>
    <s v="USA"/>
    <x v="5"/>
    <x v="3"/>
    <m/>
    <s v="Shipping Company C"/>
    <s v="Peter Krschne"/>
    <s v="123 11th Street"/>
    <x v="9"/>
    <s v="FL"/>
    <n v="99999"/>
    <s v="USA"/>
    <m/>
    <x v="9"/>
    <x v="5"/>
    <n v="40"/>
    <n v="67"/>
    <x v="64"/>
    <n v="270.68"/>
  </r>
  <r>
    <n v="1079"/>
    <x v="23"/>
    <n v="1"/>
    <x v="11"/>
    <s v="123 1st Street"/>
    <x v="10"/>
    <s v="WA"/>
    <n v="99999"/>
    <s v="USA"/>
    <x v="2"/>
    <x v="2"/>
    <m/>
    <s v="Shipping Company C"/>
    <s v="Anna Bedecs"/>
    <s v="123 1st Street"/>
    <x v="10"/>
    <s v="WA"/>
    <n v="99999"/>
    <s v="USA"/>
    <m/>
    <x v="13"/>
    <x v="8"/>
    <n v="18.399999999999999"/>
    <n v="75"/>
    <x v="65"/>
    <n v="138"/>
  </r>
  <r>
    <n v="1080"/>
    <x v="35"/>
    <n v="28"/>
    <x v="7"/>
    <s v="789 28th Street"/>
    <x v="6"/>
    <s v="TN"/>
    <n v="99999"/>
    <s v="USA"/>
    <x v="5"/>
    <x v="3"/>
    <d v="2014-03-30T00:00:00"/>
    <s v="Shipping Company C"/>
    <s v="Amritansh Raghav"/>
    <s v="789 28th Street"/>
    <x v="6"/>
    <s v="TN"/>
    <n v="99999"/>
    <s v="USA"/>
    <s v="Credit Card"/>
    <x v="5"/>
    <x v="0"/>
    <n v="46"/>
    <n v="17"/>
    <x v="66"/>
    <n v="80.546000000000006"/>
  </r>
  <r>
    <n v="1081"/>
    <x v="36"/>
    <n v="4"/>
    <x v="1"/>
    <s v="123 4th Street"/>
    <x v="1"/>
    <s v="NY"/>
    <n v="99999"/>
    <s v="USA"/>
    <x v="1"/>
    <x v="1"/>
    <d v="2014-04-06T00:00:00"/>
    <s v="Shipping Company A"/>
    <s v="Christina Lee"/>
    <s v="123 4th Street"/>
    <x v="1"/>
    <s v="NY"/>
    <n v="99999"/>
    <s v="USA"/>
    <s v="Credit Card"/>
    <x v="1"/>
    <x v="1"/>
    <n v="3.5"/>
    <n v="48"/>
    <x v="67"/>
    <n v="16.295999999999999"/>
  </r>
  <r>
    <n v="1082"/>
    <x v="37"/>
    <n v="12"/>
    <x v="2"/>
    <s v="123 12th Street"/>
    <x v="0"/>
    <s v="NV"/>
    <n v="99999"/>
    <s v="USA"/>
    <x v="0"/>
    <x v="0"/>
    <d v="2014-04-14T00:00:00"/>
    <s v="Shipping Company B"/>
    <s v="John Edwards"/>
    <s v="123 12th Street"/>
    <x v="0"/>
    <s v="NV"/>
    <n v="99999"/>
    <s v="USA"/>
    <s v="Credit Card"/>
    <x v="4"/>
    <x v="0"/>
    <n v="18"/>
    <n v="74"/>
    <x v="68"/>
    <n v="137.19600000000003"/>
  </r>
  <r>
    <n v="1083"/>
    <x v="37"/>
    <n v="12"/>
    <x v="2"/>
    <s v="123 12th Street"/>
    <x v="0"/>
    <s v="NV"/>
    <n v="99999"/>
    <s v="USA"/>
    <x v="0"/>
    <x v="0"/>
    <d v="2014-04-14T00:00:00"/>
    <s v="Shipping Company B"/>
    <s v="John Edwards"/>
    <s v="123 12th Street"/>
    <x v="0"/>
    <s v="NV"/>
    <n v="99999"/>
    <s v="USA"/>
    <s v="Credit Card"/>
    <x v="5"/>
    <x v="0"/>
    <n v="46"/>
    <n v="96"/>
    <x v="69"/>
    <n v="428.35200000000003"/>
  </r>
  <r>
    <n v="1084"/>
    <x v="38"/>
    <n v="8"/>
    <x v="3"/>
    <s v="123 8th Street"/>
    <x v="2"/>
    <s v="OR"/>
    <n v="99999"/>
    <s v="USA"/>
    <x v="2"/>
    <x v="2"/>
    <d v="2014-04-10T00:00:00"/>
    <s v="Shipping Company C"/>
    <s v="Elizabeth Andersen"/>
    <s v="123 8th Street"/>
    <x v="2"/>
    <s v="OR"/>
    <n v="99999"/>
    <s v="USA"/>
    <s v="Credit Card"/>
    <x v="6"/>
    <x v="2"/>
    <n v="9.1999999999999993"/>
    <n v="12"/>
    <x v="70"/>
    <n v="11.3712"/>
  </r>
  <r>
    <n v="1085"/>
    <x v="36"/>
    <n v="4"/>
    <x v="1"/>
    <s v="123 4th Street"/>
    <x v="1"/>
    <s v="NY"/>
    <n v="99999"/>
    <s v="USA"/>
    <x v="1"/>
    <x v="1"/>
    <n v="41735"/>
    <s v="Shipping Company C"/>
    <s v="Christina Lee"/>
    <s v="123 4th Street"/>
    <x v="1"/>
    <s v="NY"/>
    <n v="99999"/>
    <s v="USA"/>
    <s v="Check"/>
    <x v="6"/>
    <x v="2"/>
    <n v="9.1999999999999993"/>
    <n v="62"/>
    <x v="71"/>
    <n v="58.751199999999997"/>
  </r>
  <r>
    <n v="1086"/>
    <x v="39"/>
    <n v="29"/>
    <x v="4"/>
    <s v="789 29th Street"/>
    <x v="3"/>
    <s v="CO"/>
    <n v="99999"/>
    <s v="USA"/>
    <x v="3"/>
    <x v="0"/>
    <n v="41760"/>
    <s v="Shipping Company B"/>
    <s v="Soo Jung Lee"/>
    <s v="789 29th Street"/>
    <x v="3"/>
    <s v="CO"/>
    <n v="99999"/>
    <s v="USA"/>
    <s v="Check"/>
    <x v="7"/>
    <x v="3"/>
    <n v="12.75"/>
    <n v="35"/>
    <x v="72"/>
    <n v="45.963750000000005"/>
  </r>
  <r>
    <n v="1087"/>
    <x v="40"/>
    <n v="3"/>
    <x v="5"/>
    <s v="123 3rd Street"/>
    <x v="4"/>
    <s v="CA"/>
    <n v="99999"/>
    <s v="USA"/>
    <x v="0"/>
    <x v="0"/>
    <n v="41734"/>
    <s v="Shipping Company B"/>
    <s v="Thomas Axerr"/>
    <s v="123 3rd Street"/>
    <x v="4"/>
    <s v="CA"/>
    <n v="99999"/>
    <s v="USA"/>
    <s v="Cash"/>
    <x v="8"/>
    <x v="4"/>
    <n v="9.65"/>
    <n v="95"/>
    <x v="73"/>
    <n v="91.675000000000011"/>
  </r>
  <r>
    <n v="1088"/>
    <x v="41"/>
    <n v="6"/>
    <x v="6"/>
    <s v="123 6th Street"/>
    <x v="5"/>
    <s v="WI"/>
    <n v="99999"/>
    <s v="USA"/>
    <x v="4"/>
    <x v="2"/>
    <n v="41737"/>
    <s v="Shipping Company B"/>
    <s v="Francisco Pérez-Olaeta"/>
    <s v="123 6th Street"/>
    <x v="5"/>
    <s v="WI"/>
    <n v="99999"/>
    <s v="USA"/>
    <s v="Credit Card"/>
    <x v="9"/>
    <x v="5"/>
    <n v="40"/>
    <n v="17"/>
    <x v="74"/>
    <n v="68.680000000000007"/>
  </r>
  <r>
    <n v="1089"/>
    <x v="42"/>
    <n v="28"/>
    <x v="7"/>
    <s v="789 28th Street"/>
    <x v="6"/>
    <s v="TN"/>
    <n v="99999"/>
    <s v="USA"/>
    <x v="5"/>
    <x v="3"/>
    <d v="2014-04-30T00:00:00"/>
    <s v="Shipping Company C"/>
    <s v="Amritansh Raghav"/>
    <s v="789 28th Street"/>
    <x v="6"/>
    <s v="TN"/>
    <n v="99999"/>
    <s v="USA"/>
    <s v="Check"/>
    <x v="5"/>
    <x v="0"/>
    <n v="46"/>
    <n v="96"/>
    <x v="69"/>
    <n v="463.68000000000006"/>
  </r>
  <r>
    <n v="1090"/>
    <x v="38"/>
    <n v="8"/>
    <x v="3"/>
    <s v="123 8th Street"/>
    <x v="2"/>
    <s v="OR"/>
    <n v="99999"/>
    <s v="USA"/>
    <x v="2"/>
    <x v="2"/>
    <d v="2014-04-10T00:00:00"/>
    <s v="Shipping Company C"/>
    <s v="Elizabeth Andersen"/>
    <s v="123 8th Street"/>
    <x v="2"/>
    <s v="OR"/>
    <n v="99999"/>
    <s v="USA"/>
    <s v="Check"/>
    <x v="7"/>
    <x v="3"/>
    <n v="12.75"/>
    <n v="83"/>
    <x v="75"/>
    <n v="102.65025"/>
  </r>
  <r>
    <n v="1091"/>
    <x v="43"/>
    <n v="10"/>
    <x v="8"/>
    <s v="123 10th Street"/>
    <x v="7"/>
    <s v="IL"/>
    <n v="99999"/>
    <s v="USA"/>
    <x v="6"/>
    <x v="1"/>
    <d v="2014-04-12T00:00:00"/>
    <s v="Shipping Company B"/>
    <s v="Roland Wacker"/>
    <s v="123 10th Street"/>
    <x v="7"/>
    <s v="IL"/>
    <n v="99999"/>
    <s v="USA"/>
    <s v="Credit Card"/>
    <x v="10"/>
    <x v="0"/>
    <n v="2.99"/>
    <n v="88"/>
    <x v="76"/>
    <n v="26.04888"/>
  </r>
  <r>
    <n v="1092"/>
    <x v="44"/>
    <n v="7"/>
    <x v="9"/>
    <s v="123 7th Street"/>
    <x v="8"/>
    <s v="ID"/>
    <n v="99999"/>
    <s v="USA"/>
    <x v="2"/>
    <x v="2"/>
    <m/>
    <m/>
    <s v="Ming-Yang Xie"/>
    <s v="123 7th Street"/>
    <x v="8"/>
    <s v="ID"/>
    <n v="99999"/>
    <s v="USA"/>
    <m/>
    <x v="5"/>
    <x v="0"/>
    <n v="46"/>
    <n v="59"/>
    <x v="77"/>
    <n v="284.97000000000003"/>
  </r>
  <r>
    <n v="1093"/>
    <x v="43"/>
    <n v="10"/>
    <x v="8"/>
    <s v="123 10th Street"/>
    <x v="7"/>
    <s v="IL"/>
    <n v="99999"/>
    <s v="USA"/>
    <x v="6"/>
    <x v="1"/>
    <d v="2014-04-12T00:00:00"/>
    <s v="Shipping Company A"/>
    <s v="Roland Wacker"/>
    <s v="123 10th Street"/>
    <x v="7"/>
    <s v="IL"/>
    <n v="99999"/>
    <s v="USA"/>
    <m/>
    <x v="11"/>
    <x v="6"/>
    <n v="25"/>
    <n v="27"/>
    <x v="78"/>
    <n v="68.849999999999994"/>
  </r>
  <r>
    <n v="1094"/>
    <x v="43"/>
    <n v="10"/>
    <x v="8"/>
    <s v="123 10th Street"/>
    <x v="7"/>
    <s v="IL"/>
    <n v="99999"/>
    <s v="USA"/>
    <x v="6"/>
    <x v="1"/>
    <d v="2014-04-12T00:00:00"/>
    <s v="Shipping Company A"/>
    <s v="Roland Wacker"/>
    <s v="123 10th Street"/>
    <x v="7"/>
    <s v="IL"/>
    <n v="99999"/>
    <s v="USA"/>
    <m/>
    <x v="12"/>
    <x v="7"/>
    <n v="22"/>
    <n v="37"/>
    <x v="79"/>
    <n v="85.470000000000013"/>
  </r>
  <r>
    <n v="1095"/>
    <x v="43"/>
    <n v="10"/>
    <x v="8"/>
    <s v="123 10th Street"/>
    <x v="7"/>
    <s v="IL"/>
    <n v="99999"/>
    <s v="USA"/>
    <x v="6"/>
    <x v="1"/>
    <d v="2014-04-12T00:00:00"/>
    <s v="Shipping Company A"/>
    <s v="Roland Wacker"/>
    <s v="123 10th Street"/>
    <x v="7"/>
    <s v="IL"/>
    <n v="99999"/>
    <s v="USA"/>
    <m/>
    <x v="6"/>
    <x v="2"/>
    <n v="9.1999999999999993"/>
    <n v="75"/>
    <x v="80"/>
    <n v="69"/>
  </r>
  <r>
    <n v="1096"/>
    <x v="45"/>
    <n v="11"/>
    <x v="10"/>
    <s v="123 11th Street"/>
    <x v="9"/>
    <s v="FL"/>
    <n v="99999"/>
    <s v="USA"/>
    <x v="5"/>
    <x v="3"/>
    <m/>
    <s v="Shipping Company C"/>
    <s v="Peter Krschne"/>
    <s v="123 11th Street"/>
    <x v="9"/>
    <s v="FL"/>
    <n v="99999"/>
    <s v="USA"/>
    <m/>
    <x v="1"/>
    <x v="1"/>
    <n v="3.5"/>
    <n v="71"/>
    <x v="81"/>
    <n v="24.104500000000002"/>
  </r>
  <r>
    <n v="1097"/>
    <x v="45"/>
    <n v="11"/>
    <x v="10"/>
    <s v="123 11th Street"/>
    <x v="9"/>
    <s v="FL"/>
    <n v="99999"/>
    <s v="USA"/>
    <x v="5"/>
    <x v="3"/>
    <m/>
    <s v="Shipping Company C"/>
    <s v="Peter Krschne"/>
    <s v="123 11th Street"/>
    <x v="9"/>
    <s v="FL"/>
    <n v="99999"/>
    <s v="USA"/>
    <m/>
    <x v="10"/>
    <x v="0"/>
    <n v="2.99"/>
    <n v="88"/>
    <x v="76"/>
    <n v="26.04888"/>
  </r>
  <r>
    <n v="1098"/>
    <x v="46"/>
    <n v="1"/>
    <x v="11"/>
    <s v="123 1st Street"/>
    <x v="10"/>
    <s v="WA"/>
    <n v="99999"/>
    <s v="USA"/>
    <x v="2"/>
    <x v="2"/>
    <m/>
    <m/>
    <s v="Anna Bedecs"/>
    <s v="123 1st Street"/>
    <x v="10"/>
    <s v="WA"/>
    <n v="99999"/>
    <s v="USA"/>
    <m/>
    <x v="4"/>
    <x v="0"/>
    <n v="18"/>
    <n v="55"/>
    <x v="82"/>
    <n v="97.02"/>
  </r>
  <r>
    <n v="1099"/>
    <x v="47"/>
    <n v="29"/>
    <x v="4"/>
    <s v="789 29th Street"/>
    <x v="3"/>
    <s v="CO"/>
    <n v="99999"/>
    <s v="USA"/>
    <x v="3"/>
    <x v="0"/>
    <d v="2014-05-31T00:00:00"/>
    <s v="Shipping Company B"/>
    <s v="Soo Jung Lee"/>
    <s v="789 29th Street"/>
    <x v="3"/>
    <s v="CO"/>
    <n v="99999"/>
    <s v="USA"/>
    <s v="Check"/>
    <x v="7"/>
    <x v="3"/>
    <n v="12.75"/>
    <n v="14"/>
    <x v="83"/>
    <n v="16.9575"/>
  </r>
  <r>
    <n v="1100"/>
    <x v="48"/>
    <n v="3"/>
    <x v="5"/>
    <s v="123 3rd Street"/>
    <x v="4"/>
    <s v="CA"/>
    <n v="99999"/>
    <s v="USA"/>
    <x v="0"/>
    <x v="0"/>
    <d v="2014-05-05T00:00:00"/>
    <s v="Shipping Company B"/>
    <s v="Thomas Axerr"/>
    <s v="123 3rd Street"/>
    <x v="4"/>
    <s v="CA"/>
    <n v="99999"/>
    <s v="USA"/>
    <s v="Cash"/>
    <x v="8"/>
    <x v="4"/>
    <n v="9.65"/>
    <n v="43"/>
    <x v="84"/>
    <n v="42.324900000000007"/>
  </r>
  <r>
    <n v="1101"/>
    <x v="49"/>
    <n v="6"/>
    <x v="6"/>
    <s v="123 6th Street"/>
    <x v="5"/>
    <s v="WI"/>
    <n v="99999"/>
    <s v="USA"/>
    <x v="4"/>
    <x v="2"/>
    <n v="41767"/>
    <s v="Shipping Company B"/>
    <s v="Francisco Pérez-Olaeta"/>
    <s v="123 6th Street"/>
    <x v="5"/>
    <s v="WI"/>
    <n v="99999"/>
    <s v="USA"/>
    <s v="Credit Card"/>
    <x v="9"/>
    <x v="5"/>
    <n v="40"/>
    <n v="63"/>
    <x v="85"/>
    <n v="254.52"/>
  </r>
  <r>
    <n v="1102"/>
    <x v="50"/>
    <n v="28"/>
    <x v="7"/>
    <s v="789 28th Street"/>
    <x v="6"/>
    <s v="TN"/>
    <n v="99999"/>
    <s v="USA"/>
    <x v="5"/>
    <x v="3"/>
    <d v="2014-05-30T00:00:00"/>
    <s v="Shipping Company C"/>
    <s v="Amritansh Raghav"/>
    <s v="789 28th Street"/>
    <x v="6"/>
    <s v="TN"/>
    <n v="99999"/>
    <s v="USA"/>
    <s v="Check"/>
    <x v="5"/>
    <x v="0"/>
    <n v="46"/>
    <n v="36"/>
    <x v="86"/>
    <n v="165.60000000000002"/>
  </r>
  <r>
    <n v="1103"/>
    <x v="51"/>
    <n v="8"/>
    <x v="3"/>
    <s v="123 8th Street"/>
    <x v="2"/>
    <s v="OR"/>
    <n v="99999"/>
    <s v="USA"/>
    <x v="2"/>
    <x v="2"/>
    <d v="2014-05-10T00:00:00"/>
    <s v="Shipping Company C"/>
    <s v="Elizabeth Andersen"/>
    <s v="123 8th Street"/>
    <x v="2"/>
    <s v="OR"/>
    <n v="99999"/>
    <s v="USA"/>
    <s v="Check"/>
    <x v="7"/>
    <x v="3"/>
    <n v="12.75"/>
    <n v="41"/>
    <x v="87"/>
    <n v="54.366000000000007"/>
  </r>
  <r>
    <n v="1104"/>
    <x v="52"/>
    <n v="10"/>
    <x v="8"/>
    <s v="123 10th Street"/>
    <x v="7"/>
    <s v="IL"/>
    <n v="99999"/>
    <s v="USA"/>
    <x v="6"/>
    <x v="1"/>
    <d v="2014-05-12T00:00:00"/>
    <s v="Shipping Company B"/>
    <s v="Roland Wacker"/>
    <s v="123 10th Street"/>
    <x v="7"/>
    <s v="IL"/>
    <n v="99999"/>
    <s v="USA"/>
    <s v="Credit Card"/>
    <x v="10"/>
    <x v="0"/>
    <n v="2.99"/>
    <n v="35"/>
    <x v="88"/>
    <n v="10.255700000000001"/>
  </r>
  <r>
    <n v="1105"/>
    <x v="53"/>
    <n v="7"/>
    <x v="9"/>
    <s v="123 7th Street"/>
    <x v="8"/>
    <s v="ID"/>
    <n v="99999"/>
    <s v="USA"/>
    <x v="2"/>
    <x v="2"/>
    <m/>
    <m/>
    <s v="Ming-Yang Xie"/>
    <s v="123 7th Street"/>
    <x v="8"/>
    <s v="ID"/>
    <n v="99999"/>
    <s v="USA"/>
    <m/>
    <x v="5"/>
    <x v="0"/>
    <n v="46"/>
    <n v="31"/>
    <x v="89"/>
    <n v="136.89599999999999"/>
  </r>
  <r>
    <n v="1106"/>
    <x v="52"/>
    <n v="10"/>
    <x v="8"/>
    <s v="123 10th Street"/>
    <x v="7"/>
    <s v="IL"/>
    <n v="99999"/>
    <s v="USA"/>
    <x v="6"/>
    <x v="1"/>
    <n v="41771"/>
    <s v="Shipping Company A"/>
    <s v="Roland Wacker"/>
    <s v="123 10th Street"/>
    <x v="7"/>
    <s v="IL"/>
    <n v="99999"/>
    <s v="USA"/>
    <m/>
    <x v="11"/>
    <x v="6"/>
    <n v="25"/>
    <n v="52"/>
    <x v="90"/>
    <n v="123.5"/>
  </r>
  <r>
    <n v="1107"/>
    <x v="52"/>
    <n v="10"/>
    <x v="8"/>
    <s v="123 10th Street"/>
    <x v="7"/>
    <s v="IL"/>
    <n v="99999"/>
    <s v="USA"/>
    <x v="6"/>
    <x v="1"/>
    <n v="41771"/>
    <s v="Shipping Company A"/>
    <s v="Roland Wacker"/>
    <s v="123 10th Street"/>
    <x v="7"/>
    <s v="IL"/>
    <n v="99999"/>
    <s v="USA"/>
    <m/>
    <x v="12"/>
    <x v="7"/>
    <n v="22"/>
    <n v="30"/>
    <x v="91"/>
    <n v="67.320000000000007"/>
  </r>
  <r>
    <n v="1108"/>
    <x v="52"/>
    <n v="10"/>
    <x v="8"/>
    <s v="123 10th Street"/>
    <x v="7"/>
    <s v="IL"/>
    <n v="99999"/>
    <s v="USA"/>
    <x v="6"/>
    <x v="1"/>
    <d v="2014-05-12T00:00:00"/>
    <s v="Shipping Company A"/>
    <s v="Roland Wacker"/>
    <s v="123 10th Street"/>
    <x v="7"/>
    <s v="IL"/>
    <n v="99999"/>
    <s v="USA"/>
    <m/>
    <x v="6"/>
    <x v="2"/>
    <n v="9.1999999999999993"/>
    <n v="41"/>
    <x v="92"/>
    <n v="38.474400000000003"/>
  </r>
  <r>
    <n v="1109"/>
    <x v="54"/>
    <n v="11"/>
    <x v="10"/>
    <s v="123 11th Street"/>
    <x v="9"/>
    <s v="FL"/>
    <n v="99999"/>
    <s v="USA"/>
    <x v="5"/>
    <x v="3"/>
    <m/>
    <s v="Shipping Company C"/>
    <s v="Peter Krschne"/>
    <s v="123 11th Street"/>
    <x v="9"/>
    <s v="FL"/>
    <n v="99999"/>
    <s v="USA"/>
    <m/>
    <x v="1"/>
    <x v="1"/>
    <n v="3.5"/>
    <n v="44"/>
    <x v="93"/>
    <n v="15.246"/>
  </r>
  <r>
    <n v="1110"/>
    <x v="54"/>
    <n v="11"/>
    <x v="10"/>
    <s v="123 11th Street"/>
    <x v="9"/>
    <s v="FL"/>
    <n v="99999"/>
    <s v="USA"/>
    <x v="5"/>
    <x v="3"/>
    <m/>
    <s v="Shipping Company C"/>
    <s v="Peter Krschne"/>
    <s v="123 11th Street"/>
    <x v="9"/>
    <s v="FL"/>
    <n v="99999"/>
    <s v="USA"/>
    <m/>
    <x v="10"/>
    <x v="0"/>
    <n v="2.99"/>
    <n v="77"/>
    <x v="94"/>
    <n v="23.023000000000003"/>
  </r>
  <r>
    <n v="1111"/>
    <x v="55"/>
    <n v="1"/>
    <x v="11"/>
    <s v="123 1st Street"/>
    <x v="10"/>
    <s v="WA"/>
    <n v="99999"/>
    <s v="USA"/>
    <x v="2"/>
    <x v="2"/>
    <m/>
    <m/>
    <s v="Anna Bedecs"/>
    <s v="123 1st Street"/>
    <x v="10"/>
    <s v="WA"/>
    <n v="99999"/>
    <s v="USA"/>
    <m/>
    <x v="4"/>
    <x v="0"/>
    <n v="18"/>
    <n v="29"/>
    <x v="95"/>
    <n v="52.722000000000001"/>
  </r>
  <r>
    <n v="1112"/>
    <x v="55"/>
    <n v="1"/>
    <x v="11"/>
    <s v="123 1st Street"/>
    <x v="10"/>
    <s v="WA"/>
    <n v="99999"/>
    <s v="USA"/>
    <x v="2"/>
    <x v="2"/>
    <m/>
    <m/>
    <s v="Anna Bedecs"/>
    <s v="123 1st Street"/>
    <x v="10"/>
    <s v="WA"/>
    <n v="99999"/>
    <s v="USA"/>
    <m/>
    <x v="5"/>
    <x v="0"/>
    <n v="46"/>
    <n v="77"/>
    <x v="96"/>
    <n v="368.36800000000005"/>
  </r>
  <r>
    <n v="1113"/>
    <x v="55"/>
    <n v="1"/>
    <x v="11"/>
    <s v="123 1st Street"/>
    <x v="10"/>
    <s v="WA"/>
    <n v="99999"/>
    <s v="USA"/>
    <x v="2"/>
    <x v="2"/>
    <m/>
    <m/>
    <s v="Anna Bedecs"/>
    <s v="123 1st Street"/>
    <x v="10"/>
    <s v="WA"/>
    <n v="99999"/>
    <s v="USA"/>
    <m/>
    <x v="10"/>
    <x v="0"/>
    <n v="2.99"/>
    <n v="73"/>
    <x v="97"/>
    <n v="21.827000000000002"/>
  </r>
  <r>
    <n v="1114"/>
    <x v="50"/>
    <n v="28"/>
    <x v="7"/>
    <s v="789 28th Street"/>
    <x v="6"/>
    <s v="TN"/>
    <n v="99999"/>
    <s v="USA"/>
    <x v="5"/>
    <x v="3"/>
    <n v="41789"/>
    <s v="Shipping Company C"/>
    <s v="Amritansh Raghav"/>
    <s v="789 28th Street"/>
    <x v="6"/>
    <s v="TN"/>
    <n v="99999"/>
    <s v="USA"/>
    <s v="Credit Card"/>
    <x v="8"/>
    <x v="4"/>
    <n v="9.65"/>
    <n v="74"/>
    <x v="98"/>
    <n v="67.839500000000001"/>
  </r>
  <r>
    <n v="1115"/>
    <x v="50"/>
    <n v="28"/>
    <x v="7"/>
    <s v="789 28th Street"/>
    <x v="6"/>
    <s v="TN"/>
    <n v="99999"/>
    <s v="USA"/>
    <x v="5"/>
    <x v="3"/>
    <d v="2014-05-30T00:00:00"/>
    <s v="Shipping Company C"/>
    <s v="Amritansh Raghav"/>
    <s v="789 28th Street"/>
    <x v="6"/>
    <s v="TN"/>
    <n v="99999"/>
    <s v="USA"/>
    <s v="Credit Card"/>
    <x v="13"/>
    <x v="8"/>
    <n v="18.399999999999999"/>
    <n v="25"/>
    <x v="99"/>
    <n v="46.46"/>
  </r>
  <r>
    <n v="1116"/>
    <x v="56"/>
    <n v="9"/>
    <x v="12"/>
    <s v="123 9th Street"/>
    <x v="11"/>
    <s v="UT"/>
    <n v="99999"/>
    <s v="USA"/>
    <x v="7"/>
    <x v="0"/>
    <d v="2014-05-11T00:00:00"/>
    <s v="Shipping Company A"/>
    <s v="Sven Mortensen"/>
    <s v="123 9th Street"/>
    <x v="11"/>
    <s v="UT"/>
    <n v="99999"/>
    <s v="USA"/>
    <s v="Check"/>
    <x v="14"/>
    <x v="9"/>
    <n v="19.5"/>
    <n v="82"/>
    <x v="100"/>
    <n v="153.50399999999999"/>
  </r>
  <r>
    <n v="1117"/>
    <x v="56"/>
    <n v="9"/>
    <x v="12"/>
    <s v="123 9th Street"/>
    <x v="11"/>
    <s v="UT"/>
    <n v="99999"/>
    <s v="USA"/>
    <x v="7"/>
    <x v="0"/>
    <d v="2014-05-11T00:00:00"/>
    <s v="Shipping Company A"/>
    <s v="Sven Mortensen"/>
    <s v="123 9th Street"/>
    <x v="11"/>
    <s v="UT"/>
    <n v="99999"/>
    <s v="USA"/>
    <s v="Check"/>
    <x v="15"/>
    <x v="10"/>
    <n v="34.799999999999997"/>
    <n v="37"/>
    <x v="101"/>
    <n v="132.62279999999998"/>
  </r>
  <r>
    <n v="1118"/>
    <x v="49"/>
    <n v="6"/>
    <x v="6"/>
    <s v="123 6th Street"/>
    <x v="5"/>
    <s v="WI"/>
    <n v="99999"/>
    <s v="USA"/>
    <x v="4"/>
    <x v="2"/>
    <n v="41767"/>
    <s v="Shipping Company B"/>
    <s v="Francisco Pérez-Olaeta"/>
    <s v="123 6th Street"/>
    <x v="5"/>
    <s v="WI"/>
    <n v="99999"/>
    <s v="USA"/>
    <s v="Credit Card"/>
    <x v="0"/>
    <x v="0"/>
    <n v="14"/>
    <n v="84"/>
    <x v="102"/>
    <n v="112.896"/>
  </r>
  <r>
    <n v="1119"/>
    <x v="51"/>
    <n v="8"/>
    <x v="3"/>
    <s v="123 8th Street"/>
    <x v="2"/>
    <s v="OR"/>
    <n v="99999"/>
    <s v="USA"/>
    <x v="2"/>
    <x v="2"/>
    <n v="41769"/>
    <s v="Shipping Company B"/>
    <s v="Elizabeth Andersen"/>
    <s v="123 8th Street"/>
    <x v="2"/>
    <s v="OR"/>
    <n v="99999"/>
    <s v="USA"/>
    <s v="Check"/>
    <x v="9"/>
    <x v="5"/>
    <n v="40"/>
    <n v="73"/>
    <x v="103"/>
    <n v="283.24"/>
  </r>
  <r>
    <n v="1120"/>
    <x v="51"/>
    <n v="8"/>
    <x v="3"/>
    <s v="123 8th Street"/>
    <x v="2"/>
    <s v="OR"/>
    <n v="99999"/>
    <s v="USA"/>
    <x v="2"/>
    <x v="2"/>
    <n v="41769"/>
    <s v="Shipping Company B"/>
    <s v="Elizabeth Andersen"/>
    <s v="123 8th Street"/>
    <x v="2"/>
    <s v="OR"/>
    <n v="99999"/>
    <s v="USA"/>
    <s v="Check"/>
    <x v="6"/>
    <x v="2"/>
    <n v="9.1999999999999993"/>
    <n v="51"/>
    <x v="104"/>
    <n v="44.573999999999998"/>
  </r>
  <r>
    <n v="1121"/>
    <x v="57"/>
    <n v="25"/>
    <x v="13"/>
    <s v="789 25th Street"/>
    <x v="7"/>
    <s v="IL"/>
    <n v="99999"/>
    <s v="USA"/>
    <x v="6"/>
    <x v="1"/>
    <n v="41786"/>
    <s v="Shipping Company A"/>
    <s v="John Rodman"/>
    <s v="789 25th Street"/>
    <x v="7"/>
    <s v="IL"/>
    <n v="99999"/>
    <s v="USA"/>
    <s v="Cash"/>
    <x v="21"/>
    <x v="2"/>
    <n v="10"/>
    <n v="66"/>
    <x v="91"/>
    <n v="68.64"/>
  </r>
  <r>
    <n v="1122"/>
    <x v="58"/>
    <n v="26"/>
    <x v="14"/>
    <s v="789 26th Street"/>
    <x v="9"/>
    <s v="FL"/>
    <n v="99999"/>
    <s v="USA"/>
    <x v="5"/>
    <x v="3"/>
    <n v="41787"/>
    <s v="Shipping Company C"/>
    <s v="Run Liu"/>
    <s v="789 26th Street"/>
    <x v="9"/>
    <s v="FL"/>
    <n v="99999"/>
    <s v="USA"/>
    <s v="Credit Card"/>
    <x v="22"/>
    <x v="13"/>
    <n v="21.35"/>
    <n v="36"/>
    <x v="105"/>
    <n v="74.554200000000009"/>
  </r>
  <r>
    <n v="1123"/>
    <x v="58"/>
    <n v="26"/>
    <x v="14"/>
    <s v="789 26th Street"/>
    <x v="9"/>
    <s v="FL"/>
    <n v="99999"/>
    <s v="USA"/>
    <x v="5"/>
    <x v="3"/>
    <d v="2014-05-28T00:00:00"/>
    <s v="Shipping Company C"/>
    <s v="Run Liu"/>
    <s v="789 26th Street"/>
    <x v="9"/>
    <s v="FL"/>
    <n v="99999"/>
    <s v="USA"/>
    <s v="Credit Card"/>
    <x v="8"/>
    <x v="4"/>
    <n v="9.65"/>
    <n v="87"/>
    <x v="106"/>
    <n v="87.313200000000009"/>
  </r>
  <r>
    <n v="1124"/>
    <x v="58"/>
    <n v="26"/>
    <x v="14"/>
    <s v="789 26th Street"/>
    <x v="9"/>
    <s v="FL"/>
    <n v="99999"/>
    <s v="USA"/>
    <x v="5"/>
    <x v="3"/>
    <d v="2014-05-28T00:00:00"/>
    <s v="Shipping Company C"/>
    <s v="Run Liu"/>
    <s v="789 26th Street"/>
    <x v="9"/>
    <s v="FL"/>
    <n v="99999"/>
    <s v="USA"/>
    <s v="Credit Card"/>
    <x v="13"/>
    <x v="8"/>
    <n v="18.399999999999999"/>
    <n v="64"/>
    <x v="107"/>
    <n v="115.40479999999999"/>
  </r>
  <r>
    <n v="1125"/>
    <x v="47"/>
    <n v="29"/>
    <x v="4"/>
    <s v="789 29th Street"/>
    <x v="3"/>
    <s v="CO"/>
    <n v="99999"/>
    <s v="USA"/>
    <x v="3"/>
    <x v="0"/>
    <d v="2014-05-31T00:00:00"/>
    <s v="Shipping Company B"/>
    <s v="Soo Jung Lee"/>
    <s v="789 29th Street"/>
    <x v="3"/>
    <s v="CO"/>
    <n v="99999"/>
    <s v="USA"/>
    <s v="Check"/>
    <x v="0"/>
    <x v="0"/>
    <n v="14"/>
    <n v="21"/>
    <x v="108"/>
    <n v="30.870000000000005"/>
  </r>
  <r>
    <n v="1126"/>
    <x v="49"/>
    <n v="6"/>
    <x v="6"/>
    <s v="123 6th Street"/>
    <x v="5"/>
    <s v="WI"/>
    <n v="99999"/>
    <s v="USA"/>
    <x v="4"/>
    <x v="2"/>
    <d v="2014-05-08T00:00:00"/>
    <s v="Shipping Company C"/>
    <s v="Francisco Pérez-Olaeta"/>
    <s v="123 6th Street"/>
    <x v="5"/>
    <s v="WI"/>
    <n v="99999"/>
    <s v="USA"/>
    <s v="Check"/>
    <x v="7"/>
    <x v="3"/>
    <n v="12.75"/>
    <n v="19"/>
    <x v="109"/>
    <n v="24.46725"/>
  </r>
  <r>
    <n v="1128"/>
    <x v="59"/>
    <n v="4"/>
    <x v="1"/>
    <s v="123 4th Street"/>
    <x v="1"/>
    <s v="NY"/>
    <n v="99999"/>
    <s v="USA"/>
    <x v="1"/>
    <x v="1"/>
    <d v="2014-05-06T00:00:00"/>
    <s v="Shipping Company A"/>
    <s v="Christina Lee"/>
    <s v="123 4th Street"/>
    <x v="1"/>
    <s v="NY"/>
    <n v="99999"/>
    <s v="USA"/>
    <s v="Credit Card"/>
    <x v="23"/>
    <x v="6"/>
    <n v="81"/>
    <n v="23"/>
    <x v="110"/>
    <n v="195.61500000000001"/>
  </r>
  <r>
    <n v="1129"/>
    <x v="59"/>
    <n v="4"/>
    <x v="1"/>
    <s v="123 4th Street"/>
    <x v="1"/>
    <s v="NY"/>
    <n v="99999"/>
    <s v="USA"/>
    <x v="1"/>
    <x v="1"/>
    <d v="2014-05-06T00:00:00"/>
    <s v="Shipping Company A"/>
    <s v="Christina Lee"/>
    <s v="123 4th Street"/>
    <x v="1"/>
    <s v="NY"/>
    <n v="99999"/>
    <s v="USA"/>
    <s v="Credit Card"/>
    <x v="24"/>
    <x v="14"/>
    <n v="7"/>
    <n v="72"/>
    <x v="111"/>
    <n v="51.912000000000006"/>
  </r>
  <r>
    <n v="1131"/>
    <x v="51"/>
    <n v="8"/>
    <x v="3"/>
    <s v="123 8th Street"/>
    <x v="2"/>
    <s v="OR"/>
    <n v="99999"/>
    <s v="USA"/>
    <x v="2"/>
    <x v="2"/>
    <d v="2014-05-10T00:00:00"/>
    <s v="Shipping Company C"/>
    <s v="Elizabeth Andersen"/>
    <s v="123 8th Street"/>
    <x v="2"/>
    <s v="OR"/>
    <n v="99999"/>
    <s v="USA"/>
    <s v="Credit Card"/>
    <x v="15"/>
    <x v="10"/>
    <n v="34.799999999999997"/>
    <n v="22"/>
    <x v="112"/>
    <n v="75.02879999999999"/>
  </r>
  <r>
    <n v="1134"/>
    <x v="48"/>
    <n v="3"/>
    <x v="5"/>
    <s v="123 3rd Street"/>
    <x v="4"/>
    <s v="CA"/>
    <n v="99999"/>
    <s v="USA"/>
    <x v="0"/>
    <x v="0"/>
    <d v="2014-05-05T00:00:00"/>
    <s v="Shipping Company B"/>
    <s v="Thomas Axerr"/>
    <s v="123 3rd Street"/>
    <x v="4"/>
    <s v="CA"/>
    <n v="99999"/>
    <s v="USA"/>
    <s v="Cash"/>
    <x v="16"/>
    <x v="7"/>
    <n v="10"/>
    <n v="82"/>
    <x v="113"/>
    <n v="85.28"/>
  </r>
  <r>
    <n v="1135"/>
    <x v="48"/>
    <n v="3"/>
    <x v="5"/>
    <s v="123 3rd Street"/>
    <x v="4"/>
    <s v="CA"/>
    <n v="99999"/>
    <s v="USA"/>
    <x v="0"/>
    <x v="0"/>
    <d v="2014-05-05T00:00:00"/>
    <s v="Shipping Company B"/>
    <s v="Thomas Axerr"/>
    <s v="123 3rd Street"/>
    <x v="4"/>
    <s v="CA"/>
    <n v="99999"/>
    <s v="USA"/>
    <s v="Cash"/>
    <x v="9"/>
    <x v="5"/>
    <n v="40"/>
    <n v="98"/>
    <x v="114"/>
    <n v="411.6"/>
  </r>
  <r>
    <n v="1138"/>
    <x v="60"/>
    <n v="7"/>
    <x v="9"/>
    <s v="123 7th Street"/>
    <x v="8"/>
    <s v="ID"/>
    <n v="99999"/>
    <s v="USA"/>
    <x v="2"/>
    <x v="2"/>
    <m/>
    <m/>
    <s v="Ming-Yang Xie"/>
    <s v="123 7th Street"/>
    <x v="8"/>
    <s v="ID"/>
    <n v="99999"/>
    <s v="USA"/>
    <m/>
    <x v="5"/>
    <x v="0"/>
    <n v="46"/>
    <n v="71"/>
    <x v="115"/>
    <n v="310.27"/>
  </r>
  <r>
    <n v="1139"/>
    <x v="61"/>
    <n v="10"/>
    <x v="8"/>
    <s v="123 10th Street"/>
    <x v="7"/>
    <s v="IL"/>
    <n v="99999"/>
    <s v="USA"/>
    <x v="6"/>
    <x v="1"/>
    <d v="2014-06-12T00:00:00"/>
    <s v="Shipping Company A"/>
    <s v="Roland Wacker"/>
    <s v="123 10th Street"/>
    <x v="7"/>
    <s v="IL"/>
    <n v="99999"/>
    <s v="USA"/>
    <m/>
    <x v="11"/>
    <x v="6"/>
    <n v="25"/>
    <n v="40"/>
    <x v="116"/>
    <n v="105"/>
  </r>
  <r>
    <n v="1140"/>
    <x v="61"/>
    <n v="10"/>
    <x v="8"/>
    <s v="123 10th Street"/>
    <x v="7"/>
    <s v="IL"/>
    <n v="99999"/>
    <s v="USA"/>
    <x v="6"/>
    <x v="1"/>
    <d v="2014-06-12T00:00:00"/>
    <s v="Shipping Company A"/>
    <s v="Roland Wacker"/>
    <s v="123 10th Street"/>
    <x v="7"/>
    <s v="IL"/>
    <n v="99999"/>
    <s v="USA"/>
    <m/>
    <x v="12"/>
    <x v="7"/>
    <n v="22"/>
    <n v="80"/>
    <x v="117"/>
    <n v="172.48"/>
  </r>
  <r>
    <n v="1141"/>
    <x v="61"/>
    <n v="10"/>
    <x v="8"/>
    <s v="123 10th Street"/>
    <x v="7"/>
    <s v="IL"/>
    <n v="99999"/>
    <s v="USA"/>
    <x v="6"/>
    <x v="1"/>
    <d v="2014-06-12T00:00:00"/>
    <s v="Shipping Company A"/>
    <s v="Roland Wacker"/>
    <s v="123 10th Street"/>
    <x v="7"/>
    <s v="IL"/>
    <n v="99999"/>
    <s v="USA"/>
    <m/>
    <x v="6"/>
    <x v="2"/>
    <n v="9.1999999999999993"/>
    <n v="38"/>
    <x v="7"/>
    <n v="33.211999999999996"/>
  </r>
  <r>
    <n v="1142"/>
    <x v="62"/>
    <n v="11"/>
    <x v="10"/>
    <s v="123 11th Street"/>
    <x v="9"/>
    <s v="FL"/>
    <n v="99999"/>
    <s v="USA"/>
    <x v="5"/>
    <x v="3"/>
    <m/>
    <s v="Shipping Company C"/>
    <s v="Peter Krschne"/>
    <s v="123 11th Street"/>
    <x v="9"/>
    <s v="FL"/>
    <n v="99999"/>
    <s v="USA"/>
    <m/>
    <x v="1"/>
    <x v="1"/>
    <n v="3.5"/>
    <n v="28"/>
    <x v="118"/>
    <n v="10.290000000000001"/>
  </r>
  <r>
    <n v="1143"/>
    <x v="62"/>
    <n v="11"/>
    <x v="10"/>
    <s v="123 11th Street"/>
    <x v="9"/>
    <s v="FL"/>
    <n v="99999"/>
    <s v="USA"/>
    <x v="5"/>
    <x v="3"/>
    <m/>
    <s v="Shipping Company C"/>
    <s v="Peter Krschne"/>
    <s v="123 11th Street"/>
    <x v="9"/>
    <s v="FL"/>
    <n v="99999"/>
    <s v="USA"/>
    <m/>
    <x v="10"/>
    <x v="0"/>
    <n v="2.99"/>
    <n v="60"/>
    <x v="119"/>
    <n v="17.581200000000003"/>
  </r>
  <r>
    <n v="1144"/>
    <x v="63"/>
    <n v="1"/>
    <x v="11"/>
    <s v="123 1st Street"/>
    <x v="10"/>
    <s v="WA"/>
    <n v="99999"/>
    <s v="USA"/>
    <x v="2"/>
    <x v="2"/>
    <m/>
    <m/>
    <s v="Anna Bedecs"/>
    <s v="123 1st Street"/>
    <x v="10"/>
    <s v="WA"/>
    <n v="99999"/>
    <s v="USA"/>
    <m/>
    <x v="4"/>
    <x v="0"/>
    <n v="18"/>
    <n v="33"/>
    <x v="120"/>
    <n v="58.212000000000003"/>
  </r>
  <r>
    <n v="1145"/>
    <x v="63"/>
    <n v="1"/>
    <x v="11"/>
    <s v="123 1st Street"/>
    <x v="10"/>
    <s v="WA"/>
    <n v="99999"/>
    <s v="USA"/>
    <x v="2"/>
    <x v="2"/>
    <m/>
    <m/>
    <s v="Anna Bedecs"/>
    <s v="123 1st Street"/>
    <x v="10"/>
    <s v="WA"/>
    <n v="99999"/>
    <s v="USA"/>
    <m/>
    <x v="5"/>
    <x v="0"/>
    <n v="46"/>
    <n v="22"/>
    <x v="121"/>
    <n v="101.2"/>
  </r>
  <r>
    <n v="1146"/>
    <x v="63"/>
    <n v="1"/>
    <x v="11"/>
    <s v="123 1st Street"/>
    <x v="10"/>
    <s v="WA"/>
    <n v="99999"/>
    <s v="USA"/>
    <x v="2"/>
    <x v="2"/>
    <m/>
    <m/>
    <s v="Anna Bedecs"/>
    <s v="123 1st Street"/>
    <x v="10"/>
    <s v="WA"/>
    <n v="99999"/>
    <s v="USA"/>
    <m/>
    <x v="10"/>
    <x v="0"/>
    <n v="2.99"/>
    <n v="51"/>
    <x v="122"/>
    <n v="14.944020000000002"/>
  </r>
  <r>
    <n v="1147"/>
    <x v="64"/>
    <n v="28"/>
    <x v="7"/>
    <s v="789 28th Street"/>
    <x v="6"/>
    <s v="TN"/>
    <n v="99999"/>
    <s v="USA"/>
    <x v="5"/>
    <x v="3"/>
    <d v="2014-06-30T00:00:00"/>
    <s v="Shipping Company C"/>
    <s v="Amritansh Raghav"/>
    <s v="789 28th Street"/>
    <x v="6"/>
    <s v="TN"/>
    <n v="99999"/>
    <s v="USA"/>
    <s v="Credit Card"/>
    <x v="8"/>
    <x v="4"/>
    <n v="9.65"/>
    <n v="60"/>
    <x v="123"/>
    <n v="57.321000000000005"/>
  </r>
  <r>
    <n v="1148"/>
    <x v="64"/>
    <n v="28"/>
    <x v="7"/>
    <s v="789 28th Street"/>
    <x v="6"/>
    <s v="TN"/>
    <n v="99999"/>
    <s v="USA"/>
    <x v="5"/>
    <x v="3"/>
    <d v="2014-06-30T00:00:00"/>
    <s v="Shipping Company C"/>
    <s v="Amritansh Raghav"/>
    <s v="789 28th Street"/>
    <x v="6"/>
    <s v="TN"/>
    <n v="99999"/>
    <s v="USA"/>
    <s v="Credit Card"/>
    <x v="13"/>
    <x v="8"/>
    <n v="18.399999999999999"/>
    <n v="98"/>
    <x v="124"/>
    <n v="183.9264"/>
  </r>
  <r>
    <n v="1149"/>
    <x v="65"/>
    <n v="9"/>
    <x v="12"/>
    <s v="123 9th Street"/>
    <x v="11"/>
    <s v="UT"/>
    <n v="99999"/>
    <s v="USA"/>
    <x v="7"/>
    <x v="0"/>
    <d v="2014-06-11T00:00:00"/>
    <s v="Shipping Company A"/>
    <s v="Sven Mortensen"/>
    <s v="123 9th Street"/>
    <x v="11"/>
    <s v="UT"/>
    <n v="99999"/>
    <s v="USA"/>
    <s v="Check"/>
    <x v="14"/>
    <x v="9"/>
    <n v="19.5"/>
    <n v="27"/>
    <x v="125"/>
    <n v="51.070500000000003"/>
  </r>
  <r>
    <n v="1150"/>
    <x v="65"/>
    <n v="9"/>
    <x v="12"/>
    <s v="123 9th Street"/>
    <x v="11"/>
    <s v="UT"/>
    <n v="99999"/>
    <s v="USA"/>
    <x v="7"/>
    <x v="0"/>
    <d v="2014-06-11T00:00:00"/>
    <s v="Shipping Company A"/>
    <s v="Sven Mortensen"/>
    <s v="123 9th Street"/>
    <x v="11"/>
    <s v="UT"/>
    <n v="99999"/>
    <s v="USA"/>
    <s v="Check"/>
    <x v="15"/>
    <x v="10"/>
    <n v="34.799999999999997"/>
    <n v="88"/>
    <x v="126"/>
    <n v="303.17759999999993"/>
  </r>
  <r>
    <n v="1151"/>
    <x v="66"/>
    <n v="6"/>
    <x v="6"/>
    <s v="123 6th Street"/>
    <x v="5"/>
    <s v="WI"/>
    <n v="99999"/>
    <s v="USA"/>
    <x v="4"/>
    <x v="2"/>
    <d v="2014-06-08T00:00:00"/>
    <s v="Shipping Company B"/>
    <s v="Francisco Pérez-Olaeta"/>
    <s v="123 6th Street"/>
    <x v="5"/>
    <s v="WI"/>
    <n v="99999"/>
    <s v="USA"/>
    <s v="Credit Card"/>
    <x v="0"/>
    <x v="0"/>
    <n v="14"/>
    <n v="65"/>
    <x v="127"/>
    <n v="95.55"/>
  </r>
  <r>
    <n v="1152"/>
    <x v="67"/>
    <n v="8"/>
    <x v="3"/>
    <s v="123 8th Street"/>
    <x v="2"/>
    <s v="OR"/>
    <n v="99999"/>
    <s v="USA"/>
    <x v="2"/>
    <x v="2"/>
    <d v="2014-06-10T00:00:00"/>
    <s v="Shipping Company B"/>
    <s v="Elizabeth Andersen"/>
    <s v="123 8th Street"/>
    <x v="2"/>
    <s v="OR"/>
    <n v="99999"/>
    <s v="USA"/>
    <s v="Check"/>
    <x v="9"/>
    <x v="5"/>
    <n v="40"/>
    <n v="38"/>
    <x v="128"/>
    <n v="148.96"/>
  </r>
  <r>
    <n v="1153"/>
    <x v="67"/>
    <n v="8"/>
    <x v="3"/>
    <s v="123 8th Street"/>
    <x v="2"/>
    <s v="OR"/>
    <n v="99999"/>
    <s v="USA"/>
    <x v="2"/>
    <x v="2"/>
    <n v="41800"/>
    <s v="Shipping Company B"/>
    <s v="Elizabeth Andersen"/>
    <s v="123 8th Street"/>
    <x v="2"/>
    <s v="OR"/>
    <n v="99999"/>
    <s v="USA"/>
    <s v="Check"/>
    <x v="6"/>
    <x v="2"/>
    <n v="9.1999999999999993"/>
    <n v="80"/>
    <x v="129"/>
    <n v="70.656000000000006"/>
  </r>
  <r>
    <n v="1154"/>
    <x v="68"/>
    <n v="25"/>
    <x v="13"/>
    <s v="789 25th Street"/>
    <x v="7"/>
    <s v="IL"/>
    <n v="99999"/>
    <s v="USA"/>
    <x v="6"/>
    <x v="1"/>
    <d v="2014-06-27T00:00:00"/>
    <s v="Shipping Company A"/>
    <s v="John Rodman"/>
    <s v="789 25th Street"/>
    <x v="7"/>
    <s v="IL"/>
    <n v="99999"/>
    <s v="USA"/>
    <s v="Cash"/>
    <x v="21"/>
    <x v="2"/>
    <n v="10"/>
    <n v="49"/>
    <x v="130"/>
    <n v="47.04"/>
  </r>
  <r>
    <n v="1155"/>
    <x v="69"/>
    <n v="26"/>
    <x v="14"/>
    <s v="789 26th Street"/>
    <x v="9"/>
    <s v="FL"/>
    <n v="99999"/>
    <s v="USA"/>
    <x v="5"/>
    <x v="3"/>
    <d v="2014-06-28T00:00:00"/>
    <s v="Shipping Company C"/>
    <s v="Run Liu"/>
    <s v="789 26th Street"/>
    <x v="9"/>
    <s v="FL"/>
    <n v="99999"/>
    <s v="USA"/>
    <s v="Credit Card"/>
    <x v="22"/>
    <x v="13"/>
    <n v="21.35"/>
    <n v="90"/>
    <x v="131"/>
    <n v="186.38550000000004"/>
  </r>
  <r>
    <n v="1156"/>
    <x v="69"/>
    <n v="26"/>
    <x v="14"/>
    <s v="789 26th Street"/>
    <x v="9"/>
    <s v="FL"/>
    <n v="99999"/>
    <s v="USA"/>
    <x v="5"/>
    <x v="3"/>
    <d v="2014-06-28T00:00:00"/>
    <s v="Shipping Company C"/>
    <s v="Run Liu"/>
    <s v="789 26th Street"/>
    <x v="9"/>
    <s v="FL"/>
    <n v="99999"/>
    <s v="USA"/>
    <s v="Credit Card"/>
    <x v="8"/>
    <x v="4"/>
    <n v="9.65"/>
    <n v="60"/>
    <x v="123"/>
    <n v="59.637000000000008"/>
  </r>
  <r>
    <n v="1157"/>
    <x v="69"/>
    <n v="26"/>
    <x v="14"/>
    <s v="789 26th Street"/>
    <x v="9"/>
    <s v="FL"/>
    <n v="99999"/>
    <s v="USA"/>
    <x v="5"/>
    <x v="3"/>
    <n v="41818"/>
    <s v="Shipping Company C"/>
    <s v="Run Liu"/>
    <s v="789 26th Street"/>
    <x v="9"/>
    <s v="FL"/>
    <n v="99999"/>
    <s v="USA"/>
    <s v="Credit Card"/>
    <x v="13"/>
    <x v="8"/>
    <n v="18.399999999999999"/>
    <n v="39"/>
    <x v="132"/>
    <n v="71.759999999999991"/>
  </r>
  <r>
    <n v="1158"/>
    <x v="70"/>
    <n v="29"/>
    <x v="4"/>
    <s v="789 29th Street"/>
    <x v="3"/>
    <s v="CO"/>
    <n v="99999"/>
    <s v="USA"/>
    <x v="3"/>
    <x v="0"/>
    <n v="41821"/>
    <s v="Shipping Company B"/>
    <s v="Soo Jung Lee"/>
    <s v="789 29th Street"/>
    <x v="3"/>
    <s v="CO"/>
    <n v="99999"/>
    <s v="USA"/>
    <s v="Check"/>
    <x v="0"/>
    <x v="0"/>
    <n v="14"/>
    <n v="79"/>
    <x v="133"/>
    <n v="113.91800000000001"/>
  </r>
  <r>
    <n v="1159"/>
    <x v="66"/>
    <n v="6"/>
    <x v="6"/>
    <s v="123 6th Street"/>
    <x v="5"/>
    <s v="WI"/>
    <n v="99999"/>
    <s v="USA"/>
    <x v="4"/>
    <x v="2"/>
    <n v="41798"/>
    <s v="Shipping Company C"/>
    <s v="Francisco Pérez-Olaeta"/>
    <s v="123 6th Street"/>
    <x v="5"/>
    <s v="WI"/>
    <n v="99999"/>
    <s v="USA"/>
    <s v="Check"/>
    <x v="7"/>
    <x v="3"/>
    <n v="12.75"/>
    <n v="44"/>
    <x v="134"/>
    <n v="57.222000000000001"/>
  </r>
  <r>
    <n v="1161"/>
    <x v="71"/>
    <n v="4"/>
    <x v="1"/>
    <s v="123 4th Street"/>
    <x v="1"/>
    <s v="NY"/>
    <n v="99999"/>
    <s v="USA"/>
    <x v="1"/>
    <x v="1"/>
    <n v="41796"/>
    <s v="Shipping Company A"/>
    <s v="Christina Lee"/>
    <s v="123 4th Street"/>
    <x v="1"/>
    <s v="NY"/>
    <n v="99999"/>
    <s v="USA"/>
    <s v="Credit Card"/>
    <x v="23"/>
    <x v="6"/>
    <n v="81"/>
    <n v="98"/>
    <x v="135"/>
    <n v="769.98599999999999"/>
  </r>
  <r>
    <n v="1162"/>
    <x v="71"/>
    <n v="4"/>
    <x v="1"/>
    <s v="123 4th Street"/>
    <x v="1"/>
    <s v="NY"/>
    <n v="99999"/>
    <s v="USA"/>
    <x v="1"/>
    <x v="1"/>
    <n v="41796"/>
    <s v="Shipping Company A"/>
    <s v="Christina Lee"/>
    <s v="123 4th Street"/>
    <x v="1"/>
    <s v="NY"/>
    <n v="99999"/>
    <s v="USA"/>
    <s v="Credit Card"/>
    <x v="24"/>
    <x v="14"/>
    <n v="7"/>
    <n v="61"/>
    <x v="136"/>
    <n v="42.273000000000003"/>
  </r>
  <r>
    <n v="1164"/>
    <x v="67"/>
    <n v="8"/>
    <x v="3"/>
    <s v="123 8th Street"/>
    <x v="2"/>
    <s v="OR"/>
    <n v="99999"/>
    <s v="USA"/>
    <x v="2"/>
    <x v="2"/>
    <d v="2014-06-10T00:00:00"/>
    <s v="Shipping Company C"/>
    <s v="Elizabeth Andersen"/>
    <s v="123 8th Street"/>
    <x v="2"/>
    <s v="OR"/>
    <n v="99999"/>
    <s v="USA"/>
    <s v="Credit Card"/>
    <x v="15"/>
    <x v="10"/>
    <n v="34.799999999999997"/>
    <n v="30"/>
    <x v="137"/>
    <n v="109.62"/>
  </r>
  <r>
    <n v="1167"/>
    <x v="72"/>
    <n v="3"/>
    <x v="5"/>
    <s v="123 3rd Street"/>
    <x v="4"/>
    <s v="CA"/>
    <n v="99999"/>
    <s v="USA"/>
    <x v="0"/>
    <x v="0"/>
    <d v="2014-06-05T00:00:00"/>
    <s v="Shipping Company B"/>
    <s v="Thomas Axerr"/>
    <s v="123 3rd Street"/>
    <x v="4"/>
    <s v="CA"/>
    <n v="99999"/>
    <s v="USA"/>
    <s v="Cash"/>
    <x v="16"/>
    <x v="7"/>
    <n v="10"/>
    <n v="24"/>
    <x v="138"/>
    <n v="25.200000000000003"/>
  </r>
  <r>
    <n v="1168"/>
    <x v="72"/>
    <n v="3"/>
    <x v="5"/>
    <s v="123 3rd Street"/>
    <x v="4"/>
    <s v="CA"/>
    <n v="99999"/>
    <s v="USA"/>
    <x v="0"/>
    <x v="0"/>
    <d v="2014-06-05T00:00:00"/>
    <s v="Shipping Company B"/>
    <s v="Thomas Axerr"/>
    <s v="123 3rd Street"/>
    <x v="4"/>
    <s v="CA"/>
    <n v="99999"/>
    <s v="USA"/>
    <s v="Cash"/>
    <x v="9"/>
    <x v="5"/>
    <n v="40"/>
    <n v="28"/>
    <x v="139"/>
    <n v="109.75999999999999"/>
  </r>
  <r>
    <n v="1172"/>
    <x v="61"/>
    <n v="10"/>
    <x v="8"/>
    <s v="123 10th Street"/>
    <x v="7"/>
    <s v="IL"/>
    <n v="99999"/>
    <s v="USA"/>
    <x v="6"/>
    <x v="1"/>
    <d v="2014-06-12T00:00:00"/>
    <s v="Shipping Company B"/>
    <s v="Roland Wacker"/>
    <s v="123 10th Street"/>
    <x v="7"/>
    <s v="IL"/>
    <n v="99999"/>
    <s v="USA"/>
    <s v="Credit Card"/>
    <x v="18"/>
    <x v="1"/>
    <n v="10"/>
    <n v="74"/>
    <x v="140"/>
    <n v="71.78"/>
  </r>
  <r>
    <n v="1174"/>
    <x v="61"/>
    <n v="10"/>
    <x v="8"/>
    <s v="123 10th Street"/>
    <x v="7"/>
    <s v="IL"/>
    <n v="99999"/>
    <s v="USA"/>
    <x v="6"/>
    <x v="1"/>
    <m/>
    <s v="Shipping Company A"/>
    <s v="Roland Wacker"/>
    <s v="123 10th Street"/>
    <x v="7"/>
    <s v="IL"/>
    <n v="99999"/>
    <s v="USA"/>
    <m/>
    <x v="1"/>
    <x v="1"/>
    <n v="3.5"/>
    <n v="90"/>
    <x v="141"/>
    <n v="30.24"/>
  </r>
  <r>
    <n v="1175"/>
    <x v="62"/>
    <n v="11"/>
    <x v="10"/>
    <s v="123 11th Street"/>
    <x v="9"/>
    <s v="FL"/>
    <n v="99999"/>
    <s v="USA"/>
    <x v="5"/>
    <x v="3"/>
    <m/>
    <s v="Shipping Company C"/>
    <s v="Peter Krschne"/>
    <s v="123 11th Street"/>
    <x v="9"/>
    <s v="FL"/>
    <n v="99999"/>
    <s v="USA"/>
    <m/>
    <x v="9"/>
    <x v="5"/>
    <n v="40"/>
    <n v="27"/>
    <x v="142"/>
    <n v="111.24000000000001"/>
  </r>
  <r>
    <n v="1176"/>
    <x v="63"/>
    <n v="1"/>
    <x v="11"/>
    <s v="123 1st Street"/>
    <x v="10"/>
    <s v="WA"/>
    <n v="99999"/>
    <s v="USA"/>
    <x v="2"/>
    <x v="2"/>
    <m/>
    <s v="Shipping Company C"/>
    <s v="Anna Bedecs"/>
    <s v="123 1st Street"/>
    <x v="10"/>
    <s v="WA"/>
    <n v="99999"/>
    <s v="USA"/>
    <m/>
    <x v="13"/>
    <x v="8"/>
    <n v="18.399999999999999"/>
    <n v="71"/>
    <x v="143"/>
    <n v="137.172"/>
  </r>
  <r>
    <n v="1177"/>
    <x v="64"/>
    <n v="28"/>
    <x v="7"/>
    <s v="789 28th Street"/>
    <x v="6"/>
    <s v="TN"/>
    <n v="99999"/>
    <s v="USA"/>
    <x v="5"/>
    <x v="3"/>
    <d v="2014-06-30T00:00:00"/>
    <s v="Shipping Company C"/>
    <s v="Amritansh Raghav"/>
    <s v="789 28th Street"/>
    <x v="6"/>
    <s v="TN"/>
    <n v="99999"/>
    <s v="USA"/>
    <s v="Credit Card"/>
    <x v="5"/>
    <x v="0"/>
    <n v="46"/>
    <n v="74"/>
    <x v="144"/>
    <n v="340.40000000000003"/>
  </r>
  <r>
    <n v="1178"/>
    <x v="65"/>
    <n v="9"/>
    <x v="12"/>
    <s v="123 9th Street"/>
    <x v="11"/>
    <s v="UT"/>
    <n v="99999"/>
    <s v="USA"/>
    <x v="7"/>
    <x v="0"/>
    <d v="2014-06-11T00:00:00"/>
    <s v="Shipping Company A"/>
    <s v="Sven Mortensen"/>
    <s v="123 9th Street"/>
    <x v="11"/>
    <s v="UT"/>
    <n v="99999"/>
    <s v="USA"/>
    <s v="Check"/>
    <x v="8"/>
    <x v="4"/>
    <n v="9.65"/>
    <n v="76"/>
    <x v="145"/>
    <n v="72.6066"/>
  </r>
  <r>
    <n v="1179"/>
    <x v="66"/>
    <n v="6"/>
    <x v="6"/>
    <s v="123 6th Street"/>
    <x v="5"/>
    <s v="WI"/>
    <n v="99999"/>
    <s v="USA"/>
    <x v="4"/>
    <x v="2"/>
    <d v="2014-06-08T00:00:00"/>
    <s v="Shipping Company B"/>
    <s v="Francisco Pérez-Olaeta"/>
    <s v="123 6th Street"/>
    <x v="5"/>
    <s v="WI"/>
    <n v="99999"/>
    <s v="USA"/>
    <s v="Credit Card"/>
    <x v="7"/>
    <x v="3"/>
    <n v="12.75"/>
    <n v="96"/>
    <x v="146"/>
    <n v="123.62400000000001"/>
  </r>
  <r>
    <n v="1180"/>
    <x v="67"/>
    <n v="8"/>
    <x v="3"/>
    <s v="123 8th Street"/>
    <x v="2"/>
    <s v="OR"/>
    <n v="99999"/>
    <s v="USA"/>
    <x v="2"/>
    <x v="2"/>
    <d v="2014-06-10T00:00:00"/>
    <s v="Shipping Company B"/>
    <s v="Elizabeth Andersen"/>
    <s v="123 8th Street"/>
    <x v="2"/>
    <s v="OR"/>
    <n v="99999"/>
    <s v="USA"/>
    <s v="Check"/>
    <x v="7"/>
    <x v="3"/>
    <n v="12.75"/>
    <n v="92"/>
    <x v="147"/>
    <n v="116.12700000000001"/>
  </r>
  <r>
    <n v="1181"/>
    <x v="68"/>
    <n v="25"/>
    <x v="13"/>
    <s v="789 25th Street"/>
    <x v="7"/>
    <s v="IL"/>
    <n v="99999"/>
    <s v="USA"/>
    <x v="6"/>
    <x v="1"/>
    <d v="2014-06-27T00:00:00"/>
    <s v="Shipping Company A"/>
    <s v="John Rodman"/>
    <s v="789 25th Street"/>
    <x v="7"/>
    <s v="IL"/>
    <n v="99999"/>
    <s v="USA"/>
    <s v="Cash"/>
    <x v="12"/>
    <x v="7"/>
    <n v="22"/>
    <n v="93"/>
    <x v="148"/>
    <n v="200.50800000000001"/>
  </r>
  <r>
    <n v="1182"/>
    <x v="69"/>
    <n v="26"/>
    <x v="14"/>
    <s v="789 26th Street"/>
    <x v="9"/>
    <s v="FL"/>
    <n v="99999"/>
    <s v="USA"/>
    <x v="5"/>
    <x v="3"/>
    <d v="2014-06-28T00:00:00"/>
    <s v="Shipping Company C"/>
    <s v="Run Liu"/>
    <s v="789 26th Street"/>
    <x v="9"/>
    <s v="FL"/>
    <n v="99999"/>
    <s v="USA"/>
    <s v="Credit Card"/>
    <x v="11"/>
    <x v="6"/>
    <n v="25"/>
    <n v="18"/>
    <x v="149"/>
    <n v="42.75"/>
  </r>
  <r>
    <n v="1183"/>
    <x v="70"/>
    <n v="29"/>
    <x v="4"/>
    <s v="789 29th Street"/>
    <x v="3"/>
    <s v="CO"/>
    <n v="99999"/>
    <s v="USA"/>
    <x v="3"/>
    <x v="0"/>
    <d v="2014-07-01T00:00:00"/>
    <s v="Shipping Company B"/>
    <s v="Soo Jung Lee"/>
    <s v="789 29th Street"/>
    <x v="3"/>
    <s v="CO"/>
    <n v="99999"/>
    <s v="USA"/>
    <s v="Check"/>
    <x v="19"/>
    <x v="12"/>
    <n v="39"/>
    <n v="98"/>
    <x v="150"/>
    <n v="397.48800000000006"/>
  </r>
  <r>
    <n v="1184"/>
    <x v="66"/>
    <n v="6"/>
    <x v="6"/>
    <s v="123 6th Street"/>
    <x v="5"/>
    <s v="WI"/>
    <n v="99999"/>
    <s v="USA"/>
    <x v="4"/>
    <x v="2"/>
    <d v="2014-06-08T00:00:00"/>
    <s v="Shipping Company C"/>
    <s v="Francisco Pérez-Olaeta"/>
    <s v="123 6th Street"/>
    <x v="5"/>
    <s v="WI"/>
    <n v="99999"/>
    <s v="USA"/>
    <s v="Check"/>
    <x v="2"/>
    <x v="1"/>
    <n v="30"/>
    <n v="46"/>
    <x v="65"/>
    <n v="135.24"/>
  </r>
  <r>
    <n v="1185"/>
    <x v="66"/>
    <n v="6"/>
    <x v="6"/>
    <s v="123 6th Street"/>
    <x v="5"/>
    <s v="WI"/>
    <n v="99999"/>
    <s v="USA"/>
    <x v="4"/>
    <x v="2"/>
    <d v="2014-06-08T00:00:00"/>
    <s v="Shipping Company C"/>
    <s v="Francisco Pérez-Olaeta"/>
    <s v="123 6th Street"/>
    <x v="5"/>
    <s v="WI"/>
    <n v="99999"/>
    <s v="USA"/>
    <s v="Check"/>
    <x v="3"/>
    <x v="1"/>
    <n v="53"/>
    <n v="14"/>
    <x v="48"/>
    <n v="74.2"/>
  </r>
  <r>
    <n v="1186"/>
    <x v="71"/>
    <n v="4"/>
    <x v="1"/>
    <s v="123 4th Street"/>
    <x v="1"/>
    <s v="NY"/>
    <n v="99999"/>
    <s v="USA"/>
    <x v="1"/>
    <x v="1"/>
    <m/>
    <m/>
    <s v="Christina Lee"/>
    <s v="123 4th Street"/>
    <x v="1"/>
    <s v="NY"/>
    <n v="99999"/>
    <s v="USA"/>
    <m/>
    <x v="20"/>
    <x v="9"/>
    <n v="38"/>
    <n v="85"/>
    <x v="151"/>
    <n v="319.77"/>
  </r>
  <r>
    <n v="1187"/>
    <x v="72"/>
    <n v="3"/>
    <x v="5"/>
    <s v="123 3rd Street"/>
    <x v="4"/>
    <s v="CA"/>
    <n v="99999"/>
    <s v="USA"/>
    <x v="0"/>
    <x v="0"/>
    <m/>
    <m/>
    <s v="Thomas Axerr"/>
    <s v="123 3rd Street"/>
    <x v="4"/>
    <s v="CA"/>
    <n v="99999"/>
    <s v="USA"/>
    <m/>
    <x v="10"/>
    <x v="0"/>
    <n v="2.99"/>
    <n v="88"/>
    <x v="76"/>
    <n v="25.522639999999999"/>
  </r>
  <r>
    <n v="1188"/>
    <x v="73"/>
    <n v="1"/>
    <x v="11"/>
    <s v="123 1st Street"/>
    <x v="10"/>
    <s v="WA"/>
    <n v="99999"/>
    <s v="USA"/>
    <x v="2"/>
    <x v="2"/>
    <m/>
    <m/>
    <s v="Anna Bedecs"/>
    <s v="123 1st Street"/>
    <x v="10"/>
    <s v="WA"/>
    <n v="99999"/>
    <s v="USA"/>
    <m/>
    <x v="10"/>
    <x v="0"/>
    <n v="2.99"/>
    <n v="81"/>
    <x v="152"/>
    <n v="23.976810000000004"/>
  </r>
  <r>
    <n v="1189"/>
    <x v="74"/>
    <n v="28"/>
    <x v="7"/>
    <s v="789 28th Street"/>
    <x v="6"/>
    <s v="TN"/>
    <n v="99999"/>
    <s v="USA"/>
    <x v="5"/>
    <x v="3"/>
    <d v="2014-07-30T00:00:00"/>
    <s v="Shipping Company C"/>
    <s v="Amritansh Raghav"/>
    <s v="789 28th Street"/>
    <x v="6"/>
    <s v="TN"/>
    <n v="99999"/>
    <s v="USA"/>
    <s v="Credit Card"/>
    <x v="8"/>
    <x v="4"/>
    <n v="9.65"/>
    <n v="33"/>
    <x v="153"/>
    <n v="30.252749999999999"/>
  </r>
  <r>
    <n v="1190"/>
    <x v="74"/>
    <n v="28"/>
    <x v="7"/>
    <s v="789 28th Street"/>
    <x v="6"/>
    <s v="TN"/>
    <n v="99999"/>
    <s v="USA"/>
    <x v="5"/>
    <x v="3"/>
    <d v="2014-07-30T00:00:00"/>
    <s v="Shipping Company C"/>
    <s v="Amritansh Raghav"/>
    <s v="789 28th Street"/>
    <x v="6"/>
    <s v="TN"/>
    <n v="99999"/>
    <s v="USA"/>
    <s v="Credit Card"/>
    <x v="13"/>
    <x v="8"/>
    <n v="18.399999999999999"/>
    <n v="47"/>
    <x v="154"/>
    <n v="90.804000000000002"/>
  </r>
  <r>
    <n v="1191"/>
    <x v="75"/>
    <n v="9"/>
    <x v="12"/>
    <s v="123 9th Street"/>
    <x v="11"/>
    <s v="UT"/>
    <n v="99999"/>
    <s v="USA"/>
    <x v="7"/>
    <x v="0"/>
    <d v="2014-07-11T00:00:00"/>
    <s v="Shipping Company A"/>
    <s v="Sven Mortensen"/>
    <s v="123 9th Street"/>
    <x v="11"/>
    <s v="UT"/>
    <n v="99999"/>
    <s v="USA"/>
    <s v="Check"/>
    <x v="14"/>
    <x v="9"/>
    <n v="19.5"/>
    <n v="61"/>
    <x v="155"/>
    <n v="123.70800000000001"/>
  </r>
  <r>
    <n v="1192"/>
    <x v="75"/>
    <n v="9"/>
    <x v="12"/>
    <s v="123 9th Street"/>
    <x v="11"/>
    <s v="UT"/>
    <n v="99999"/>
    <s v="USA"/>
    <x v="7"/>
    <x v="0"/>
    <d v="2014-07-11T00:00:00"/>
    <s v="Shipping Company A"/>
    <s v="Sven Mortensen"/>
    <s v="123 9th Street"/>
    <x v="11"/>
    <s v="UT"/>
    <n v="99999"/>
    <s v="USA"/>
    <s v="Check"/>
    <x v="15"/>
    <x v="10"/>
    <n v="34.799999999999997"/>
    <n v="27"/>
    <x v="156"/>
    <n v="95.839199999999991"/>
  </r>
  <r>
    <n v="1193"/>
    <x v="76"/>
    <n v="6"/>
    <x v="6"/>
    <s v="123 6th Street"/>
    <x v="5"/>
    <s v="WI"/>
    <n v="99999"/>
    <s v="USA"/>
    <x v="4"/>
    <x v="2"/>
    <d v="2014-07-08T00:00:00"/>
    <s v="Shipping Company B"/>
    <s v="Francisco Pérez-Olaeta"/>
    <s v="123 6th Street"/>
    <x v="5"/>
    <s v="WI"/>
    <n v="99999"/>
    <s v="USA"/>
    <s v="Credit Card"/>
    <x v="0"/>
    <x v="0"/>
    <n v="14"/>
    <n v="84"/>
    <x v="102"/>
    <n v="118.77600000000001"/>
  </r>
  <r>
    <n v="1194"/>
    <x v="77"/>
    <n v="8"/>
    <x v="3"/>
    <s v="123 8th Street"/>
    <x v="2"/>
    <s v="OR"/>
    <n v="99999"/>
    <s v="USA"/>
    <x v="2"/>
    <x v="2"/>
    <d v="2014-07-10T00:00:00"/>
    <s v="Shipping Company B"/>
    <s v="Elizabeth Andersen"/>
    <s v="123 8th Street"/>
    <x v="2"/>
    <s v="OR"/>
    <n v="99999"/>
    <s v="USA"/>
    <s v="Check"/>
    <x v="9"/>
    <x v="5"/>
    <n v="40"/>
    <n v="91"/>
    <x v="157"/>
    <n v="360.36"/>
  </r>
  <r>
    <n v="1195"/>
    <x v="77"/>
    <n v="8"/>
    <x v="3"/>
    <s v="123 8th Street"/>
    <x v="2"/>
    <s v="OR"/>
    <n v="99999"/>
    <s v="USA"/>
    <x v="2"/>
    <x v="2"/>
    <d v="2014-07-10T00:00:00"/>
    <s v="Shipping Company B"/>
    <s v="Elizabeth Andersen"/>
    <s v="123 8th Street"/>
    <x v="2"/>
    <s v="OR"/>
    <n v="99999"/>
    <s v="USA"/>
    <s v="Check"/>
    <x v="6"/>
    <x v="2"/>
    <n v="9.1999999999999993"/>
    <n v="36"/>
    <x v="158"/>
    <n v="34.444800000000001"/>
  </r>
  <r>
    <n v="1196"/>
    <x v="78"/>
    <n v="25"/>
    <x v="13"/>
    <s v="789 25th Street"/>
    <x v="7"/>
    <s v="IL"/>
    <n v="99999"/>
    <s v="USA"/>
    <x v="6"/>
    <x v="1"/>
    <n v="41847"/>
    <s v="Shipping Company A"/>
    <s v="John Rodman"/>
    <s v="789 25th Street"/>
    <x v="7"/>
    <s v="IL"/>
    <n v="99999"/>
    <s v="USA"/>
    <s v="Cash"/>
    <x v="21"/>
    <x v="2"/>
    <n v="10"/>
    <n v="34"/>
    <x v="159"/>
    <n v="34.340000000000003"/>
  </r>
  <r>
    <n v="1197"/>
    <x v="79"/>
    <n v="26"/>
    <x v="14"/>
    <s v="789 26th Street"/>
    <x v="9"/>
    <s v="FL"/>
    <n v="99999"/>
    <s v="USA"/>
    <x v="5"/>
    <x v="3"/>
    <n v="41848"/>
    <s v="Shipping Company C"/>
    <s v="Run Liu"/>
    <s v="789 26th Street"/>
    <x v="9"/>
    <s v="FL"/>
    <n v="99999"/>
    <s v="USA"/>
    <s v="Credit Card"/>
    <x v="22"/>
    <x v="13"/>
    <n v="21.35"/>
    <n v="81"/>
    <x v="160"/>
    <n v="178.12305000000003"/>
  </r>
  <r>
    <n v="1198"/>
    <x v="79"/>
    <n v="26"/>
    <x v="14"/>
    <s v="789 26th Street"/>
    <x v="9"/>
    <s v="FL"/>
    <n v="99999"/>
    <s v="USA"/>
    <x v="5"/>
    <x v="3"/>
    <n v="41848"/>
    <s v="Shipping Company C"/>
    <s v="Run Liu"/>
    <s v="789 26th Street"/>
    <x v="9"/>
    <s v="FL"/>
    <n v="99999"/>
    <s v="USA"/>
    <s v="Credit Card"/>
    <x v="8"/>
    <x v="4"/>
    <n v="9.65"/>
    <n v="25"/>
    <x v="161"/>
    <n v="23.401250000000001"/>
  </r>
  <r>
    <n v="1199"/>
    <x v="79"/>
    <n v="26"/>
    <x v="14"/>
    <s v="789 26th Street"/>
    <x v="9"/>
    <s v="FL"/>
    <n v="99999"/>
    <s v="USA"/>
    <x v="5"/>
    <x v="3"/>
    <n v="41848"/>
    <s v="Shipping Company C"/>
    <s v="Run Liu"/>
    <s v="789 26th Street"/>
    <x v="9"/>
    <s v="FL"/>
    <n v="99999"/>
    <s v="USA"/>
    <s v="Credit Card"/>
    <x v="13"/>
    <x v="8"/>
    <n v="18.399999999999999"/>
    <n v="12"/>
    <x v="162"/>
    <n v="22.08"/>
  </r>
  <r>
    <n v="1200"/>
    <x v="80"/>
    <n v="29"/>
    <x v="4"/>
    <s v="789 29th Street"/>
    <x v="3"/>
    <s v="CO"/>
    <n v="99999"/>
    <s v="USA"/>
    <x v="3"/>
    <x v="0"/>
    <d v="2014-07-31T00:00:00"/>
    <s v="Shipping Company B"/>
    <s v="Soo Jung Lee"/>
    <s v="789 29th Street"/>
    <x v="3"/>
    <s v="CO"/>
    <n v="99999"/>
    <s v="USA"/>
    <s v="Check"/>
    <x v="0"/>
    <x v="0"/>
    <n v="14"/>
    <n v="23"/>
    <x v="163"/>
    <n v="30.912000000000003"/>
  </r>
  <r>
    <n v="1201"/>
    <x v="76"/>
    <n v="6"/>
    <x v="6"/>
    <s v="123 6th Street"/>
    <x v="5"/>
    <s v="WI"/>
    <n v="99999"/>
    <s v="USA"/>
    <x v="4"/>
    <x v="2"/>
    <d v="2014-07-08T00:00:00"/>
    <s v="Shipping Company C"/>
    <s v="Francisco Pérez-Olaeta"/>
    <s v="123 6th Street"/>
    <x v="5"/>
    <s v="WI"/>
    <n v="99999"/>
    <s v="USA"/>
    <s v="Check"/>
    <x v="7"/>
    <x v="3"/>
    <n v="12.75"/>
    <n v="76"/>
    <x v="164"/>
    <n v="97.869"/>
  </r>
  <r>
    <n v="1203"/>
    <x v="81"/>
    <n v="4"/>
    <x v="1"/>
    <s v="123 4th Street"/>
    <x v="1"/>
    <s v="NY"/>
    <n v="99999"/>
    <s v="USA"/>
    <x v="1"/>
    <x v="1"/>
    <d v="2014-07-06T00:00:00"/>
    <s v="Shipping Company A"/>
    <s v="Christina Lee"/>
    <s v="123 4th Street"/>
    <x v="1"/>
    <s v="NY"/>
    <n v="99999"/>
    <s v="USA"/>
    <s v="Credit Card"/>
    <x v="23"/>
    <x v="6"/>
    <n v="81"/>
    <n v="55"/>
    <x v="165"/>
    <n v="445.5"/>
  </r>
  <r>
    <n v="1204"/>
    <x v="81"/>
    <n v="4"/>
    <x v="1"/>
    <s v="123 4th Street"/>
    <x v="1"/>
    <s v="NY"/>
    <n v="99999"/>
    <s v="USA"/>
    <x v="1"/>
    <x v="1"/>
    <d v="2014-07-06T00:00:00"/>
    <s v="Shipping Company A"/>
    <s v="Christina Lee"/>
    <s v="123 4th Street"/>
    <x v="1"/>
    <s v="NY"/>
    <n v="99999"/>
    <s v="USA"/>
    <s v="Credit Card"/>
    <x v="24"/>
    <x v="14"/>
    <n v="7"/>
    <n v="19"/>
    <x v="166"/>
    <n v="12.901"/>
  </r>
  <r>
    <n v="1206"/>
    <x v="77"/>
    <n v="8"/>
    <x v="3"/>
    <s v="123 8th Street"/>
    <x v="2"/>
    <s v="OR"/>
    <n v="99999"/>
    <s v="USA"/>
    <x v="2"/>
    <x v="2"/>
    <d v="2014-07-10T00:00:00"/>
    <s v="Shipping Company C"/>
    <s v="Elizabeth Andersen"/>
    <s v="123 8th Street"/>
    <x v="2"/>
    <s v="OR"/>
    <n v="99999"/>
    <s v="USA"/>
    <s v="Credit Card"/>
    <x v="15"/>
    <x v="10"/>
    <n v="34.799999999999997"/>
    <n v="27"/>
    <x v="156"/>
    <n v="89.261999999999986"/>
  </r>
  <r>
    <n v="1209"/>
    <x v="82"/>
    <n v="3"/>
    <x v="5"/>
    <s v="123 3rd Street"/>
    <x v="4"/>
    <s v="CA"/>
    <n v="99999"/>
    <s v="USA"/>
    <x v="0"/>
    <x v="0"/>
    <d v="2014-07-05T00:00:00"/>
    <s v="Shipping Company B"/>
    <s v="Thomas Axerr"/>
    <s v="123 3rd Street"/>
    <x v="4"/>
    <s v="CA"/>
    <n v="99999"/>
    <s v="USA"/>
    <s v="Cash"/>
    <x v="16"/>
    <x v="7"/>
    <n v="10"/>
    <n v="99"/>
    <x v="82"/>
    <n v="95.039999999999992"/>
  </r>
  <r>
    <n v="1210"/>
    <x v="82"/>
    <n v="3"/>
    <x v="5"/>
    <s v="123 3rd Street"/>
    <x v="4"/>
    <s v="CA"/>
    <n v="99999"/>
    <s v="USA"/>
    <x v="0"/>
    <x v="0"/>
    <d v="2014-07-05T00:00:00"/>
    <s v="Shipping Company B"/>
    <s v="Thomas Axerr"/>
    <s v="123 3rd Street"/>
    <x v="4"/>
    <s v="CA"/>
    <n v="99999"/>
    <s v="USA"/>
    <s v="Cash"/>
    <x v="9"/>
    <x v="5"/>
    <n v="40"/>
    <n v="10"/>
    <x v="167"/>
    <n v="40"/>
  </r>
  <r>
    <n v="1214"/>
    <x v="83"/>
    <n v="10"/>
    <x v="8"/>
    <s v="123 10th Street"/>
    <x v="7"/>
    <s v="IL"/>
    <n v="99999"/>
    <s v="USA"/>
    <x v="6"/>
    <x v="1"/>
    <d v="2014-07-12T00:00:00"/>
    <s v="Shipping Company B"/>
    <s v="Roland Wacker"/>
    <s v="123 10th Street"/>
    <x v="7"/>
    <s v="IL"/>
    <n v="99999"/>
    <s v="USA"/>
    <s v="Credit Card"/>
    <x v="18"/>
    <x v="1"/>
    <n v="10"/>
    <n v="80"/>
    <x v="168"/>
    <n v="77.599999999999994"/>
  </r>
  <r>
    <n v="1216"/>
    <x v="83"/>
    <n v="10"/>
    <x v="8"/>
    <s v="123 10th Street"/>
    <x v="7"/>
    <s v="IL"/>
    <n v="99999"/>
    <s v="USA"/>
    <x v="6"/>
    <x v="1"/>
    <m/>
    <s v="Shipping Company A"/>
    <s v="Roland Wacker"/>
    <s v="123 10th Street"/>
    <x v="7"/>
    <s v="IL"/>
    <n v="99999"/>
    <s v="USA"/>
    <m/>
    <x v="1"/>
    <x v="1"/>
    <n v="3.5"/>
    <n v="27"/>
    <x v="169"/>
    <n v="9.072000000000001"/>
  </r>
  <r>
    <n v="1217"/>
    <x v="84"/>
    <n v="11"/>
    <x v="10"/>
    <s v="123 11th Street"/>
    <x v="9"/>
    <s v="FL"/>
    <n v="99999"/>
    <s v="USA"/>
    <x v="5"/>
    <x v="3"/>
    <m/>
    <s v="Shipping Company C"/>
    <s v="Peter Krschne"/>
    <s v="123 11th Street"/>
    <x v="9"/>
    <s v="FL"/>
    <n v="99999"/>
    <s v="USA"/>
    <m/>
    <x v="9"/>
    <x v="5"/>
    <n v="40"/>
    <n v="97"/>
    <x v="170"/>
    <n v="380.24"/>
  </r>
  <r>
    <n v="1218"/>
    <x v="73"/>
    <n v="1"/>
    <x v="11"/>
    <s v="123 1st Street"/>
    <x v="10"/>
    <s v="WA"/>
    <n v="99999"/>
    <s v="USA"/>
    <x v="2"/>
    <x v="2"/>
    <m/>
    <s v="Shipping Company C"/>
    <s v="Anna Bedecs"/>
    <s v="123 1st Street"/>
    <x v="10"/>
    <s v="WA"/>
    <n v="99999"/>
    <s v="USA"/>
    <m/>
    <x v="13"/>
    <x v="8"/>
    <n v="18.399999999999999"/>
    <n v="42"/>
    <x v="171"/>
    <n v="80.371200000000002"/>
  </r>
  <r>
    <n v="1219"/>
    <x v="74"/>
    <n v="28"/>
    <x v="7"/>
    <s v="789 28th Street"/>
    <x v="6"/>
    <s v="TN"/>
    <n v="99999"/>
    <s v="USA"/>
    <x v="5"/>
    <x v="3"/>
    <n v="41850"/>
    <s v="Shipping Company C"/>
    <s v="Amritansh Raghav"/>
    <s v="789 28th Street"/>
    <x v="6"/>
    <s v="TN"/>
    <n v="99999"/>
    <s v="USA"/>
    <s v="Credit Card"/>
    <x v="5"/>
    <x v="0"/>
    <n v="46"/>
    <n v="24"/>
    <x v="15"/>
    <n v="105.98399999999999"/>
  </r>
  <r>
    <n v="1220"/>
    <x v="75"/>
    <n v="9"/>
    <x v="12"/>
    <s v="123 9th Street"/>
    <x v="11"/>
    <s v="UT"/>
    <n v="99999"/>
    <s v="USA"/>
    <x v="7"/>
    <x v="0"/>
    <d v="2014-07-11T00:00:00"/>
    <s v="Shipping Company A"/>
    <s v="Sven Mortensen"/>
    <s v="123 9th Street"/>
    <x v="11"/>
    <s v="UT"/>
    <n v="99999"/>
    <s v="USA"/>
    <s v="Check"/>
    <x v="8"/>
    <x v="4"/>
    <n v="9.65"/>
    <n v="90"/>
    <x v="172"/>
    <n v="83.376000000000005"/>
  </r>
  <r>
    <n v="1221"/>
    <x v="76"/>
    <n v="6"/>
    <x v="6"/>
    <s v="123 6th Street"/>
    <x v="5"/>
    <s v="WI"/>
    <n v="99999"/>
    <s v="USA"/>
    <x v="4"/>
    <x v="2"/>
    <d v="2014-07-08T00:00:00"/>
    <s v="Shipping Company B"/>
    <s v="Francisco Pérez-Olaeta"/>
    <s v="123 6th Street"/>
    <x v="5"/>
    <s v="WI"/>
    <n v="99999"/>
    <s v="USA"/>
    <s v="Credit Card"/>
    <x v="7"/>
    <x v="3"/>
    <n v="12.75"/>
    <n v="28"/>
    <x v="173"/>
    <n v="35.700000000000003"/>
  </r>
  <r>
    <n v="1222"/>
    <x v="85"/>
    <n v="28"/>
    <x v="7"/>
    <s v="789 28th Street"/>
    <x v="6"/>
    <s v="TN"/>
    <n v="99999"/>
    <s v="USA"/>
    <x v="5"/>
    <x v="3"/>
    <d v="2014-08-30T00:00:00"/>
    <s v="Shipping Company C"/>
    <s v="Amritansh Raghav"/>
    <s v="789 28th Street"/>
    <x v="6"/>
    <s v="TN"/>
    <n v="99999"/>
    <s v="USA"/>
    <s v="Check"/>
    <x v="5"/>
    <x v="0"/>
    <n v="46"/>
    <n v="28"/>
    <x v="174"/>
    <n v="133.95200000000003"/>
  </r>
  <r>
    <n v="1223"/>
    <x v="86"/>
    <n v="8"/>
    <x v="3"/>
    <s v="123 8th Street"/>
    <x v="2"/>
    <s v="OR"/>
    <n v="99999"/>
    <s v="USA"/>
    <x v="2"/>
    <x v="2"/>
    <d v="2014-08-10T00:00:00"/>
    <s v="Shipping Company C"/>
    <s v="Elizabeth Andersen"/>
    <s v="123 8th Street"/>
    <x v="2"/>
    <s v="OR"/>
    <n v="99999"/>
    <s v="USA"/>
    <s v="Check"/>
    <x v="7"/>
    <x v="3"/>
    <n v="12.75"/>
    <n v="57"/>
    <x v="175"/>
    <n v="69.768000000000001"/>
  </r>
  <r>
    <n v="1224"/>
    <x v="87"/>
    <n v="10"/>
    <x v="8"/>
    <s v="123 10th Street"/>
    <x v="7"/>
    <s v="IL"/>
    <n v="99999"/>
    <s v="USA"/>
    <x v="6"/>
    <x v="1"/>
    <d v="2014-08-12T00:00:00"/>
    <s v="Shipping Company B"/>
    <s v="Roland Wacker"/>
    <s v="123 10th Street"/>
    <x v="7"/>
    <s v="IL"/>
    <n v="99999"/>
    <s v="USA"/>
    <s v="Credit Card"/>
    <x v="10"/>
    <x v="0"/>
    <n v="2.99"/>
    <n v="23"/>
    <x v="176"/>
    <n v="6.6706900000000013"/>
  </r>
  <r>
    <n v="1225"/>
    <x v="88"/>
    <n v="7"/>
    <x v="9"/>
    <s v="123 7th Street"/>
    <x v="8"/>
    <s v="ID"/>
    <n v="99999"/>
    <s v="USA"/>
    <x v="2"/>
    <x v="2"/>
    <m/>
    <m/>
    <s v="Ming-Yang Xie"/>
    <s v="123 7th Street"/>
    <x v="8"/>
    <s v="ID"/>
    <n v="99999"/>
    <s v="USA"/>
    <m/>
    <x v="5"/>
    <x v="0"/>
    <n v="46"/>
    <n v="86"/>
    <x v="177"/>
    <n v="399.55600000000004"/>
  </r>
  <r>
    <n v="1226"/>
    <x v="87"/>
    <n v="10"/>
    <x v="8"/>
    <s v="123 10th Street"/>
    <x v="7"/>
    <s v="IL"/>
    <n v="99999"/>
    <s v="USA"/>
    <x v="6"/>
    <x v="1"/>
    <d v="2014-08-12T00:00:00"/>
    <s v="Shipping Company A"/>
    <s v="Roland Wacker"/>
    <s v="123 10th Street"/>
    <x v="7"/>
    <s v="IL"/>
    <n v="99999"/>
    <s v="USA"/>
    <m/>
    <x v="11"/>
    <x v="6"/>
    <n v="25"/>
    <n v="47"/>
    <x v="178"/>
    <n v="116.325"/>
  </r>
  <r>
    <n v="1227"/>
    <x v="87"/>
    <n v="10"/>
    <x v="8"/>
    <s v="123 10th Street"/>
    <x v="7"/>
    <s v="IL"/>
    <n v="99999"/>
    <s v="USA"/>
    <x v="6"/>
    <x v="1"/>
    <d v="2014-08-12T00:00:00"/>
    <s v="Shipping Company A"/>
    <s v="Roland Wacker"/>
    <s v="123 10th Street"/>
    <x v="7"/>
    <s v="IL"/>
    <n v="99999"/>
    <s v="USA"/>
    <m/>
    <x v="12"/>
    <x v="7"/>
    <n v="22"/>
    <n v="97"/>
    <x v="179"/>
    <n v="221.93600000000001"/>
  </r>
  <r>
    <n v="1228"/>
    <x v="87"/>
    <n v="10"/>
    <x v="8"/>
    <s v="123 10th Street"/>
    <x v="7"/>
    <s v="IL"/>
    <n v="99999"/>
    <s v="USA"/>
    <x v="6"/>
    <x v="1"/>
    <d v="2014-08-12T00:00:00"/>
    <s v="Shipping Company A"/>
    <s v="Roland Wacker"/>
    <s v="123 10th Street"/>
    <x v="7"/>
    <s v="IL"/>
    <n v="99999"/>
    <s v="USA"/>
    <m/>
    <x v="6"/>
    <x v="2"/>
    <n v="9.1999999999999993"/>
    <n v="96"/>
    <x v="180"/>
    <n v="86.553599999999989"/>
  </r>
  <r>
    <n v="1229"/>
    <x v="89"/>
    <n v="11"/>
    <x v="10"/>
    <s v="123 11th Street"/>
    <x v="9"/>
    <s v="FL"/>
    <n v="99999"/>
    <s v="USA"/>
    <x v="5"/>
    <x v="3"/>
    <m/>
    <s v="Shipping Company C"/>
    <s v="Peter Krschne"/>
    <s v="123 11th Street"/>
    <x v="9"/>
    <s v="FL"/>
    <n v="99999"/>
    <s v="USA"/>
    <m/>
    <x v="1"/>
    <x v="1"/>
    <n v="3.5"/>
    <n v="31"/>
    <x v="181"/>
    <n v="10.850000000000001"/>
  </r>
  <r>
    <n v="1230"/>
    <x v="89"/>
    <n v="11"/>
    <x v="10"/>
    <s v="123 11th Street"/>
    <x v="9"/>
    <s v="FL"/>
    <n v="99999"/>
    <s v="USA"/>
    <x v="5"/>
    <x v="3"/>
    <m/>
    <s v="Shipping Company C"/>
    <s v="Peter Krschne"/>
    <s v="123 11th Street"/>
    <x v="9"/>
    <s v="FL"/>
    <n v="99999"/>
    <s v="USA"/>
    <m/>
    <x v="10"/>
    <x v="0"/>
    <n v="2.99"/>
    <n v="52"/>
    <x v="182"/>
    <n v="16.014440000000004"/>
  </r>
  <r>
    <n v="1231"/>
    <x v="90"/>
    <n v="1"/>
    <x v="11"/>
    <s v="123 1st Street"/>
    <x v="10"/>
    <s v="WA"/>
    <n v="99999"/>
    <s v="USA"/>
    <x v="2"/>
    <x v="2"/>
    <m/>
    <m/>
    <s v="Anna Bedecs"/>
    <s v="123 1st Street"/>
    <x v="10"/>
    <s v="WA"/>
    <n v="99999"/>
    <s v="USA"/>
    <m/>
    <x v="4"/>
    <x v="0"/>
    <n v="18"/>
    <n v="91"/>
    <x v="183"/>
    <n v="158.886"/>
  </r>
  <r>
    <n v="1232"/>
    <x v="90"/>
    <n v="1"/>
    <x v="11"/>
    <s v="123 1st Street"/>
    <x v="10"/>
    <s v="WA"/>
    <n v="99999"/>
    <s v="USA"/>
    <x v="2"/>
    <x v="2"/>
    <m/>
    <m/>
    <s v="Anna Bedecs"/>
    <s v="123 1st Street"/>
    <x v="10"/>
    <s v="WA"/>
    <n v="99999"/>
    <s v="USA"/>
    <m/>
    <x v="5"/>
    <x v="0"/>
    <n v="46"/>
    <n v="14"/>
    <x v="184"/>
    <n v="63.756000000000007"/>
  </r>
  <r>
    <n v="1233"/>
    <x v="90"/>
    <n v="1"/>
    <x v="11"/>
    <s v="123 1st Street"/>
    <x v="10"/>
    <s v="WA"/>
    <n v="99999"/>
    <s v="USA"/>
    <x v="2"/>
    <x v="2"/>
    <m/>
    <m/>
    <s v="Anna Bedecs"/>
    <s v="123 1st Street"/>
    <x v="10"/>
    <s v="WA"/>
    <n v="99999"/>
    <s v="USA"/>
    <m/>
    <x v="10"/>
    <x v="0"/>
    <n v="2.99"/>
    <n v="44"/>
    <x v="185"/>
    <n v="13.287560000000001"/>
  </r>
  <r>
    <n v="1234"/>
    <x v="85"/>
    <n v="28"/>
    <x v="7"/>
    <s v="789 28th Street"/>
    <x v="6"/>
    <s v="TN"/>
    <n v="99999"/>
    <s v="USA"/>
    <x v="5"/>
    <x v="3"/>
    <d v="2014-08-30T00:00:00"/>
    <s v="Shipping Company C"/>
    <s v="Amritansh Raghav"/>
    <s v="789 28th Street"/>
    <x v="6"/>
    <s v="TN"/>
    <n v="99999"/>
    <s v="USA"/>
    <s v="Credit Card"/>
    <x v="8"/>
    <x v="4"/>
    <n v="9.65"/>
    <n v="97"/>
    <x v="53"/>
    <n v="95.477100000000021"/>
  </r>
  <r>
    <n v="1235"/>
    <x v="85"/>
    <n v="28"/>
    <x v="7"/>
    <s v="789 28th Street"/>
    <x v="6"/>
    <s v="TN"/>
    <n v="99999"/>
    <s v="USA"/>
    <x v="5"/>
    <x v="3"/>
    <d v="2014-08-30T00:00:00"/>
    <s v="Shipping Company C"/>
    <s v="Amritansh Raghav"/>
    <s v="789 28th Street"/>
    <x v="6"/>
    <s v="TN"/>
    <n v="99999"/>
    <s v="USA"/>
    <s v="Credit Card"/>
    <x v="13"/>
    <x v="8"/>
    <n v="18.399999999999999"/>
    <n v="80"/>
    <x v="36"/>
    <n v="150.14400000000003"/>
  </r>
  <r>
    <n v="1236"/>
    <x v="91"/>
    <n v="9"/>
    <x v="12"/>
    <s v="123 9th Street"/>
    <x v="11"/>
    <s v="UT"/>
    <n v="99999"/>
    <s v="USA"/>
    <x v="7"/>
    <x v="0"/>
    <d v="2014-08-11T00:00:00"/>
    <s v="Shipping Company A"/>
    <s v="Sven Mortensen"/>
    <s v="123 9th Street"/>
    <x v="11"/>
    <s v="UT"/>
    <n v="99999"/>
    <s v="USA"/>
    <s v="Check"/>
    <x v="14"/>
    <x v="9"/>
    <n v="19.5"/>
    <n v="66"/>
    <x v="186"/>
    <n v="132.56100000000001"/>
  </r>
  <r>
    <n v="1237"/>
    <x v="91"/>
    <n v="9"/>
    <x v="12"/>
    <s v="123 9th Street"/>
    <x v="11"/>
    <s v="UT"/>
    <n v="99999"/>
    <s v="USA"/>
    <x v="7"/>
    <x v="0"/>
    <d v="2014-08-11T00:00:00"/>
    <s v="Shipping Company A"/>
    <s v="Sven Mortensen"/>
    <s v="123 9th Street"/>
    <x v="11"/>
    <s v="UT"/>
    <n v="99999"/>
    <s v="USA"/>
    <s v="Check"/>
    <x v="15"/>
    <x v="10"/>
    <n v="34.799999999999997"/>
    <n v="32"/>
    <x v="187"/>
    <n v="111.36"/>
  </r>
  <r>
    <n v="1238"/>
    <x v="92"/>
    <n v="6"/>
    <x v="6"/>
    <s v="123 6th Street"/>
    <x v="5"/>
    <s v="WI"/>
    <n v="99999"/>
    <s v="USA"/>
    <x v="4"/>
    <x v="2"/>
    <d v="2014-08-08T00:00:00"/>
    <s v="Shipping Company B"/>
    <s v="Francisco Pérez-Olaeta"/>
    <s v="123 6th Street"/>
    <x v="5"/>
    <s v="WI"/>
    <n v="99999"/>
    <s v="USA"/>
    <s v="Credit Card"/>
    <x v="0"/>
    <x v="0"/>
    <n v="14"/>
    <n v="52"/>
    <x v="188"/>
    <n v="72.8"/>
  </r>
  <r>
    <n v="1239"/>
    <x v="86"/>
    <n v="8"/>
    <x v="3"/>
    <s v="123 8th Street"/>
    <x v="2"/>
    <s v="OR"/>
    <n v="99999"/>
    <s v="USA"/>
    <x v="2"/>
    <x v="2"/>
    <d v="2014-08-10T00:00:00"/>
    <s v="Shipping Company B"/>
    <s v="Elizabeth Andersen"/>
    <s v="123 8th Street"/>
    <x v="2"/>
    <s v="OR"/>
    <n v="99999"/>
    <s v="USA"/>
    <s v="Check"/>
    <x v="9"/>
    <x v="5"/>
    <n v="40"/>
    <n v="78"/>
    <x v="189"/>
    <n v="318.24"/>
  </r>
  <r>
    <n v="1240"/>
    <x v="86"/>
    <n v="8"/>
    <x v="3"/>
    <s v="123 8th Street"/>
    <x v="2"/>
    <s v="OR"/>
    <n v="99999"/>
    <s v="USA"/>
    <x v="2"/>
    <x v="2"/>
    <d v="2014-08-10T00:00:00"/>
    <s v="Shipping Company B"/>
    <s v="Elizabeth Andersen"/>
    <s v="123 8th Street"/>
    <x v="2"/>
    <s v="OR"/>
    <n v="99999"/>
    <s v="USA"/>
    <s v="Check"/>
    <x v="6"/>
    <x v="2"/>
    <n v="9.1999999999999993"/>
    <n v="54"/>
    <x v="190"/>
    <n v="49.183199999999999"/>
  </r>
  <r>
    <n v="1241"/>
    <x v="93"/>
    <n v="25"/>
    <x v="13"/>
    <s v="789 25th Street"/>
    <x v="7"/>
    <s v="IL"/>
    <n v="99999"/>
    <s v="USA"/>
    <x v="6"/>
    <x v="1"/>
    <d v="2014-08-27T00:00:00"/>
    <s v="Shipping Company A"/>
    <s v="John Rodman"/>
    <s v="789 25th Street"/>
    <x v="7"/>
    <s v="IL"/>
    <n v="99999"/>
    <s v="USA"/>
    <s v="Cash"/>
    <x v="21"/>
    <x v="2"/>
    <n v="10"/>
    <n v="55"/>
    <x v="62"/>
    <n v="52.25"/>
  </r>
  <r>
    <n v="1242"/>
    <x v="94"/>
    <n v="26"/>
    <x v="14"/>
    <s v="789 26th Street"/>
    <x v="9"/>
    <s v="FL"/>
    <n v="99999"/>
    <s v="USA"/>
    <x v="5"/>
    <x v="3"/>
    <d v="2014-08-28T00:00:00"/>
    <s v="Shipping Company C"/>
    <s v="Run Liu"/>
    <s v="789 26th Street"/>
    <x v="9"/>
    <s v="FL"/>
    <n v="99999"/>
    <s v="USA"/>
    <s v="Credit Card"/>
    <x v="22"/>
    <x v="13"/>
    <n v="21.35"/>
    <n v="60"/>
    <x v="191"/>
    <n v="129.381"/>
  </r>
  <r>
    <n v="1243"/>
    <x v="94"/>
    <n v="26"/>
    <x v="14"/>
    <s v="789 26th Street"/>
    <x v="9"/>
    <s v="FL"/>
    <n v="99999"/>
    <s v="USA"/>
    <x v="5"/>
    <x v="3"/>
    <d v="2014-08-28T00:00:00"/>
    <s v="Shipping Company C"/>
    <s v="Run Liu"/>
    <s v="789 26th Street"/>
    <x v="9"/>
    <s v="FL"/>
    <n v="99999"/>
    <s v="USA"/>
    <s v="Credit Card"/>
    <x v="8"/>
    <x v="4"/>
    <n v="9.65"/>
    <n v="19"/>
    <x v="192"/>
    <n v="17.41825"/>
  </r>
  <r>
    <n v="1244"/>
    <x v="94"/>
    <n v="26"/>
    <x v="14"/>
    <s v="789 26th Street"/>
    <x v="9"/>
    <s v="FL"/>
    <n v="99999"/>
    <s v="USA"/>
    <x v="5"/>
    <x v="3"/>
    <d v="2014-08-28T00:00:00"/>
    <s v="Shipping Company C"/>
    <s v="Run Liu"/>
    <s v="789 26th Street"/>
    <x v="9"/>
    <s v="FL"/>
    <n v="99999"/>
    <s v="USA"/>
    <s v="Credit Card"/>
    <x v="13"/>
    <x v="8"/>
    <n v="18.399999999999999"/>
    <n v="66"/>
    <x v="193"/>
    <n v="125.08320000000001"/>
  </r>
  <r>
    <n v="1245"/>
    <x v="95"/>
    <n v="29"/>
    <x v="4"/>
    <s v="789 29th Street"/>
    <x v="3"/>
    <s v="CO"/>
    <n v="99999"/>
    <s v="USA"/>
    <x v="3"/>
    <x v="0"/>
    <d v="2014-08-31T00:00:00"/>
    <s v="Shipping Company B"/>
    <s v="Soo Jung Lee"/>
    <s v="789 29th Street"/>
    <x v="3"/>
    <s v="CO"/>
    <n v="99999"/>
    <s v="USA"/>
    <s v="Check"/>
    <x v="0"/>
    <x v="0"/>
    <n v="14"/>
    <n v="42"/>
    <x v="194"/>
    <n v="59.388000000000005"/>
  </r>
  <r>
    <n v="1246"/>
    <x v="92"/>
    <n v="6"/>
    <x v="6"/>
    <s v="123 6th Street"/>
    <x v="5"/>
    <s v="WI"/>
    <n v="99999"/>
    <s v="USA"/>
    <x v="4"/>
    <x v="2"/>
    <n v="41859"/>
    <s v="Shipping Company C"/>
    <s v="Francisco Pérez-Olaeta"/>
    <s v="123 6th Street"/>
    <x v="5"/>
    <s v="WI"/>
    <n v="99999"/>
    <s v="USA"/>
    <s v="Check"/>
    <x v="7"/>
    <x v="3"/>
    <n v="12.75"/>
    <n v="72"/>
    <x v="195"/>
    <n v="89.046000000000006"/>
  </r>
  <r>
    <n v="1248"/>
    <x v="96"/>
    <n v="4"/>
    <x v="1"/>
    <s v="123 4th Street"/>
    <x v="1"/>
    <s v="NY"/>
    <n v="99999"/>
    <s v="USA"/>
    <x v="1"/>
    <x v="1"/>
    <n v="41857"/>
    <s v="Shipping Company A"/>
    <s v="Christina Lee"/>
    <s v="123 4th Street"/>
    <x v="1"/>
    <s v="NY"/>
    <n v="99999"/>
    <s v="USA"/>
    <s v="Credit Card"/>
    <x v="23"/>
    <x v="6"/>
    <n v="81"/>
    <n v="32"/>
    <x v="196"/>
    <n v="251.42399999999998"/>
  </r>
  <r>
    <n v="1249"/>
    <x v="96"/>
    <n v="4"/>
    <x v="1"/>
    <s v="123 4th Street"/>
    <x v="1"/>
    <s v="NY"/>
    <n v="99999"/>
    <s v="USA"/>
    <x v="1"/>
    <x v="1"/>
    <n v="41857"/>
    <s v="Shipping Company A"/>
    <s v="Christina Lee"/>
    <s v="123 4th Street"/>
    <x v="1"/>
    <s v="NY"/>
    <n v="99999"/>
    <s v="USA"/>
    <s v="Credit Card"/>
    <x v="24"/>
    <x v="14"/>
    <n v="7"/>
    <n v="76"/>
    <x v="197"/>
    <n v="53.732000000000006"/>
  </r>
  <r>
    <n v="1250"/>
    <x v="97"/>
    <n v="10"/>
    <x v="8"/>
    <s v="123 10th Street"/>
    <x v="7"/>
    <s v="IL"/>
    <n v="99999"/>
    <s v="USA"/>
    <x v="6"/>
    <x v="1"/>
    <n v="41894"/>
    <s v="Shipping Company A"/>
    <s v="Roland Wacker"/>
    <s v="123 10th Street"/>
    <x v="7"/>
    <s v="IL"/>
    <n v="99999"/>
    <s v="USA"/>
    <m/>
    <x v="6"/>
    <x v="2"/>
    <n v="9.1999999999999993"/>
    <n v="83"/>
    <x v="198"/>
    <n v="74.832799999999992"/>
  </r>
  <r>
    <n v="1251"/>
    <x v="98"/>
    <n v="11"/>
    <x v="10"/>
    <s v="123 11th Street"/>
    <x v="9"/>
    <s v="FL"/>
    <n v="99999"/>
    <s v="USA"/>
    <x v="5"/>
    <x v="3"/>
    <m/>
    <s v="Shipping Company C"/>
    <s v="Peter Krschne"/>
    <s v="123 11th Street"/>
    <x v="9"/>
    <s v="FL"/>
    <n v="99999"/>
    <s v="USA"/>
    <m/>
    <x v="1"/>
    <x v="1"/>
    <n v="3.5"/>
    <n v="91"/>
    <x v="199"/>
    <n v="31.213000000000001"/>
  </r>
  <r>
    <n v="1252"/>
    <x v="98"/>
    <n v="11"/>
    <x v="10"/>
    <s v="123 11th Street"/>
    <x v="9"/>
    <s v="FL"/>
    <n v="99999"/>
    <s v="USA"/>
    <x v="5"/>
    <x v="3"/>
    <m/>
    <s v="Shipping Company C"/>
    <s v="Peter Krschne"/>
    <s v="123 11th Street"/>
    <x v="9"/>
    <s v="FL"/>
    <n v="99999"/>
    <s v="USA"/>
    <m/>
    <x v="10"/>
    <x v="0"/>
    <n v="2.99"/>
    <n v="64"/>
    <x v="200"/>
    <n v="19.518720000000002"/>
  </r>
  <r>
    <n v="1253"/>
    <x v="99"/>
    <n v="1"/>
    <x v="11"/>
    <s v="123 1st Street"/>
    <x v="10"/>
    <s v="WA"/>
    <n v="99999"/>
    <s v="USA"/>
    <x v="2"/>
    <x v="2"/>
    <m/>
    <m/>
    <s v="Anna Bedecs"/>
    <s v="123 1st Street"/>
    <x v="10"/>
    <s v="WA"/>
    <n v="99999"/>
    <s v="USA"/>
    <m/>
    <x v="4"/>
    <x v="0"/>
    <n v="18"/>
    <n v="58"/>
    <x v="137"/>
    <n v="103.35600000000001"/>
  </r>
  <r>
    <n v="1254"/>
    <x v="99"/>
    <n v="1"/>
    <x v="11"/>
    <s v="123 1st Street"/>
    <x v="10"/>
    <s v="WA"/>
    <n v="99999"/>
    <s v="USA"/>
    <x v="2"/>
    <x v="2"/>
    <m/>
    <m/>
    <s v="Anna Bedecs"/>
    <s v="123 1st Street"/>
    <x v="10"/>
    <s v="WA"/>
    <n v="99999"/>
    <s v="USA"/>
    <m/>
    <x v="5"/>
    <x v="0"/>
    <n v="46"/>
    <n v="97"/>
    <x v="201"/>
    <n v="464.04800000000006"/>
  </r>
  <r>
    <n v="1255"/>
    <x v="99"/>
    <n v="1"/>
    <x v="11"/>
    <s v="123 1st Street"/>
    <x v="10"/>
    <s v="WA"/>
    <n v="99999"/>
    <s v="USA"/>
    <x v="2"/>
    <x v="2"/>
    <m/>
    <m/>
    <s v="Anna Bedecs"/>
    <s v="123 1st Street"/>
    <x v="10"/>
    <s v="WA"/>
    <n v="99999"/>
    <s v="USA"/>
    <m/>
    <x v="10"/>
    <x v="0"/>
    <n v="2.99"/>
    <n v="14"/>
    <x v="202"/>
    <n v="4.35344"/>
  </r>
  <r>
    <n v="1256"/>
    <x v="100"/>
    <n v="28"/>
    <x v="7"/>
    <s v="789 28th Street"/>
    <x v="6"/>
    <s v="TN"/>
    <n v="99999"/>
    <s v="USA"/>
    <x v="5"/>
    <x v="3"/>
    <d v="2014-09-30T00:00:00"/>
    <s v="Shipping Company C"/>
    <s v="Amritansh Raghav"/>
    <s v="789 28th Street"/>
    <x v="6"/>
    <s v="TN"/>
    <n v="99999"/>
    <s v="USA"/>
    <s v="Credit Card"/>
    <x v="8"/>
    <x v="4"/>
    <n v="9.65"/>
    <n v="68"/>
    <x v="203"/>
    <n v="64.307600000000008"/>
  </r>
  <r>
    <n v="1257"/>
    <x v="100"/>
    <n v="28"/>
    <x v="7"/>
    <s v="789 28th Street"/>
    <x v="6"/>
    <s v="TN"/>
    <n v="99999"/>
    <s v="USA"/>
    <x v="5"/>
    <x v="3"/>
    <n v="41912"/>
    <s v="Shipping Company C"/>
    <s v="Amritansh Raghav"/>
    <s v="789 28th Street"/>
    <x v="6"/>
    <s v="TN"/>
    <n v="99999"/>
    <s v="USA"/>
    <s v="Credit Card"/>
    <x v="13"/>
    <x v="8"/>
    <n v="18.399999999999999"/>
    <n v="32"/>
    <x v="204"/>
    <n v="58.879999999999995"/>
  </r>
  <r>
    <n v="1258"/>
    <x v="101"/>
    <n v="9"/>
    <x v="12"/>
    <s v="123 9th Street"/>
    <x v="11"/>
    <s v="UT"/>
    <n v="99999"/>
    <s v="USA"/>
    <x v="7"/>
    <x v="0"/>
    <d v="2014-09-11T00:00:00"/>
    <s v="Shipping Company A"/>
    <s v="Sven Mortensen"/>
    <s v="123 9th Street"/>
    <x v="11"/>
    <s v="UT"/>
    <n v="99999"/>
    <s v="USA"/>
    <s v="Check"/>
    <x v="14"/>
    <x v="9"/>
    <n v="19.5"/>
    <n v="48"/>
    <x v="205"/>
    <n v="94.536000000000016"/>
  </r>
  <r>
    <n v="1259"/>
    <x v="101"/>
    <n v="9"/>
    <x v="12"/>
    <s v="123 9th Street"/>
    <x v="11"/>
    <s v="UT"/>
    <n v="99999"/>
    <s v="USA"/>
    <x v="7"/>
    <x v="0"/>
    <d v="2014-09-11T00:00:00"/>
    <s v="Shipping Company A"/>
    <s v="Sven Mortensen"/>
    <s v="123 9th Street"/>
    <x v="11"/>
    <s v="UT"/>
    <n v="99999"/>
    <s v="USA"/>
    <s v="Check"/>
    <x v="15"/>
    <x v="10"/>
    <n v="34.799999999999997"/>
    <n v="57"/>
    <x v="206"/>
    <n v="194.39280000000002"/>
  </r>
  <r>
    <n v="1260"/>
    <x v="102"/>
    <n v="6"/>
    <x v="6"/>
    <s v="123 6th Street"/>
    <x v="5"/>
    <s v="WI"/>
    <n v="99999"/>
    <s v="USA"/>
    <x v="4"/>
    <x v="2"/>
    <d v="2014-09-08T00:00:00"/>
    <s v="Shipping Company B"/>
    <s v="Francisco Pérez-Olaeta"/>
    <s v="123 6th Street"/>
    <x v="5"/>
    <s v="WI"/>
    <n v="99999"/>
    <s v="USA"/>
    <s v="Credit Card"/>
    <x v="0"/>
    <x v="0"/>
    <n v="14"/>
    <n v="67"/>
    <x v="207"/>
    <n v="98.490000000000009"/>
  </r>
  <r>
    <n v="1261"/>
    <x v="103"/>
    <n v="8"/>
    <x v="3"/>
    <s v="123 8th Street"/>
    <x v="2"/>
    <s v="OR"/>
    <n v="99999"/>
    <s v="USA"/>
    <x v="2"/>
    <x v="2"/>
    <n v="41892"/>
    <s v="Shipping Company B"/>
    <s v="Elizabeth Andersen"/>
    <s v="123 8th Street"/>
    <x v="2"/>
    <s v="OR"/>
    <n v="99999"/>
    <s v="USA"/>
    <s v="Check"/>
    <x v="9"/>
    <x v="5"/>
    <n v="40"/>
    <n v="48"/>
    <x v="208"/>
    <n v="188.16"/>
  </r>
  <r>
    <n v="1262"/>
    <x v="103"/>
    <n v="8"/>
    <x v="3"/>
    <s v="123 8th Street"/>
    <x v="2"/>
    <s v="OR"/>
    <n v="99999"/>
    <s v="USA"/>
    <x v="2"/>
    <x v="2"/>
    <n v="41892"/>
    <s v="Shipping Company B"/>
    <s v="Elizabeth Andersen"/>
    <s v="123 8th Street"/>
    <x v="2"/>
    <s v="OR"/>
    <n v="99999"/>
    <s v="USA"/>
    <s v="Check"/>
    <x v="6"/>
    <x v="2"/>
    <n v="9.1999999999999993"/>
    <n v="77"/>
    <x v="209"/>
    <n v="72.256799999999998"/>
  </r>
  <r>
    <n v="1263"/>
    <x v="104"/>
    <n v="25"/>
    <x v="13"/>
    <s v="789 25th Street"/>
    <x v="7"/>
    <s v="IL"/>
    <n v="99999"/>
    <s v="USA"/>
    <x v="6"/>
    <x v="1"/>
    <n v="41909"/>
    <s v="Shipping Company A"/>
    <s v="John Rodman"/>
    <s v="789 25th Street"/>
    <x v="7"/>
    <s v="IL"/>
    <n v="99999"/>
    <s v="USA"/>
    <s v="Cash"/>
    <x v="21"/>
    <x v="2"/>
    <n v="10"/>
    <n v="94"/>
    <x v="210"/>
    <n v="97.76"/>
  </r>
  <r>
    <n v="1264"/>
    <x v="105"/>
    <n v="26"/>
    <x v="14"/>
    <s v="789 26th Street"/>
    <x v="9"/>
    <s v="FL"/>
    <n v="99999"/>
    <s v="USA"/>
    <x v="5"/>
    <x v="3"/>
    <n v="41910"/>
    <s v="Shipping Company C"/>
    <s v="Run Liu"/>
    <s v="789 26th Street"/>
    <x v="9"/>
    <s v="FL"/>
    <n v="99999"/>
    <s v="USA"/>
    <s v="Credit Card"/>
    <x v="22"/>
    <x v="13"/>
    <n v="21.35"/>
    <n v="54"/>
    <x v="211"/>
    <n v="121.05450000000003"/>
  </r>
  <r>
    <n v="1265"/>
    <x v="105"/>
    <n v="26"/>
    <x v="14"/>
    <s v="789 26th Street"/>
    <x v="9"/>
    <s v="FL"/>
    <n v="99999"/>
    <s v="USA"/>
    <x v="5"/>
    <x v="3"/>
    <n v="41910"/>
    <s v="Shipping Company C"/>
    <s v="Run Liu"/>
    <s v="789 26th Street"/>
    <x v="9"/>
    <s v="FL"/>
    <n v="99999"/>
    <s v="USA"/>
    <s v="Credit Card"/>
    <x v="8"/>
    <x v="4"/>
    <n v="9.65"/>
    <n v="43"/>
    <x v="84"/>
    <n v="40.250150000000005"/>
  </r>
  <r>
    <n v="1266"/>
    <x v="105"/>
    <n v="26"/>
    <x v="14"/>
    <s v="789 26th Street"/>
    <x v="9"/>
    <s v="FL"/>
    <n v="99999"/>
    <s v="USA"/>
    <x v="5"/>
    <x v="3"/>
    <d v="2014-09-28T00:00:00"/>
    <s v="Shipping Company C"/>
    <s v="Run Liu"/>
    <s v="789 26th Street"/>
    <x v="9"/>
    <s v="FL"/>
    <n v="99999"/>
    <s v="USA"/>
    <s v="Credit Card"/>
    <x v="13"/>
    <x v="8"/>
    <n v="18.399999999999999"/>
    <n v="71"/>
    <x v="143"/>
    <n v="134.55919999999998"/>
  </r>
  <r>
    <n v="1267"/>
    <x v="106"/>
    <n v="29"/>
    <x v="4"/>
    <s v="789 29th Street"/>
    <x v="3"/>
    <s v="CO"/>
    <n v="99999"/>
    <s v="USA"/>
    <x v="3"/>
    <x v="0"/>
    <d v="2014-10-01T00:00:00"/>
    <s v="Shipping Company B"/>
    <s v="Soo Jung Lee"/>
    <s v="789 29th Street"/>
    <x v="3"/>
    <s v="CO"/>
    <n v="99999"/>
    <s v="USA"/>
    <s v="Check"/>
    <x v="0"/>
    <x v="0"/>
    <n v="14"/>
    <n v="50"/>
    <x v="212"/>
    <n v="67.2"/>
  </r>
  <r>
    <n v="1268"/>
    <x v="102"/>
    <n v="6"/>
    <x v="6"/>
    <s v="123 6th Street"/>
    <x v="5"/>
    <s v="WI"/>
    <n v="99999"/>
    <s v="USA"/>
    <x v="4"/>
    <x v="2"/>
    <d v="2014-09-08T00:00:00"/>
    <s v="Shipping Company C"/>
    <s v="Francisco Pérez-Olaeta"/>
    <s v="123 6th Street"/>
    <x v="5"/>
    <s v="WI"/>
    <n v="99999"/>
    <s v="USA"/>
    <s v="Check"/>
    <x v="7"/>
    <x v="3"/>
    <n v="12.75"/>
    <n v="96"/>
    <x v="146"/>
    <n v="119.952"/>
  </r>
  <r>
    <n v="1270"/>
    <x v="107"/>
    <n v="4"/>
    <x v="1"/>
    <s v="123 4th Street"/>
    <x v="1"/>
    <s v="NY"/>
    <n v="99999"/>
    <s v="USA"/>
    <x v="1"/>
    <x v="1"/>
    <d v="2014-09-06T00:00:00"/>
    <s v="Shipping Company A"/>
    <s v="Christina Lee"/>
    <s v="123 4th Street"/>
    <x v="1"/>
    <s v="NY"/>
    <n v="99999"/>
    <s v="USA"/>
    <s v="Credit Card"/>
    <x v="23"/>
    <x v="6"/>
    <n v="81"/>
    <n v="54"/>
    <x v="213"/>
    <n v="437.40000000000003"/>
  </r>
  <r>
    <n v="1271"/>
    <x v="107"/>
    <n v="4"/>
    <x v="1"/>
    <s v="123 4th Street"/>
    <x v="1"/>
    <s v="NY"/>
    <n v="99999"/>
    <s v="USA"/>
    <x v="1"/>
    <x v="1"/>
    <d v="2014-09-06T00:00:00"/>
    <s v="Shipping Company A"/>
    <s v="Christina Lee"/>
    <s v="123 4th Street"/>
    <x v="1"/>
    <s v="NY"/>
    <n v="99999"/>
    <s v="USA"/>
    <s v="Credit Card"/>
    <x v="24"/>
    <x v="14"/>
    <n v="7"/>
    <n v="39"/>
    <x v="214"/>
    <n v="27.3"/>
  </r>
  <r>
    <n v="1273"/>
    <x v="103"/>
    <n v="8"/>
    <x v="3"/>
    <s v="123 8th Street"/>
    <x v="2"/>
    <s v="OR"/>
    <n v="99999"/>
    <s v="USA"/>
    <x v="2"/>
    <x v="2"/>
    <d v="2014-09-10T00:00:00"/>
    <s v="Shipping Company C"/>
    <s v="Elizabeth Andersen"/>
    <s v="123 8th Street"/>
    <x v="2"/>
    <s v="OR"/>
    <n v="99999"/>
    <s v="USA"/>
    <s v="Credit Card"/>
    <x v="15"/>
    <x v="10"/>
    <n v="34.799999999999997"/>
    <n v="63"/>
    <x v="59"/>
    <n v="230.202"/>
  </r>
  <r>
    <n v="1276"/>
    <x v="108"/>
    <n v="3"/>
    <x v="5"/>
    <s v="123 3rd Street"/>
    <x v="4"/>
    <s v="CA"/>
    <n v="99999"/>
    <s v="USA"/>
    <x v="0"/>
    <x v="0"/>
    <d v="2014-09-05T00:00:00"/>
    <s v="Shipping Company B"/>
    <s v="Thomas Axerr"/>
    <s v="123 3rd Street"/>
    <x v="4"/>
    <s v="CA"/>
    <n v="99999"/>
    <s v="USA"/>
    <s v="Cash"/>
    <x v="16"/>
    <x v="7"/>
    <n v="10"/>
    <n v="71"/>
    <x v="215"/>
    <n v="73.13"/>
  </r>
  <r>
    <n v="1277"/>
    <x v="108"/>
    <n v="3"/>
    <x v="5"/>
    <s v="123 3rd Street"/>
    <x v="4"/>
    <s v="CA"/>
    <n v="99999"/>
    <s v="USA"/>
    <x v="0"/>
    <x v="0"/>
    <d v="2014-09-05T00:00:00"/>
    <s v="Shipping Company B"/>
    <s v="Thomas Axerr"/>
    <s v="123 3rd Street"/>
    <x v="4"/>
    <s v="CA"/>
    <n v="99999"/>
    <s v="USA"/>
    <s v="Cash"/>
    <x v="9"/>
    <x v="5"/>
    <n v="40"/>
    <n v="88"/>
    <x v="216"/>
    <n v="366.08000000000004"/>
  </r>
  <r>
    <n v="1281"/>
    <x v="97"/>
    <n v="10"/>
    <x v="8"/>
    <s v="123 10th Street"/>
    <x v="7"/>
    <s v="IL"/>
    <n v="99999"/>
    <s v="USA"/>
    <x v="6"/>
    <x v="1"/>
    <d v="2014-09-12T00:00:00"/>
    <s v="Shipping Company B"/>
    <s v="Roland Wacker"/>
    <s v="123 10th Street"/>
    <x v="7"/>
    <s v="IL"/>
    <n v="99999"/>
    <s v="USA"/>
    <s v="Credit Card"/>
    <x v="18"/>
    <x v="1"/>
    <n v="10"/>
    <n v="59"/>
    <x v="217"/>
    <n v="59.59"/>
  </r>
  <r>
    <n v="1282"/>
    <x v="109"/>
    <n v="6"/>
    <x v="6"/>
    <s v="123 6th Street"/>
    <x v="5"/>
    <s v="WI"/>
    <n v="99999"/>
    <s v="USA"/>
    <x v="4"/>
    <x v="2"/>
    <d v="2014-10-08T00:00:00"/>
    <s v="Shipping Company B"/>
    <s v="Francisco Pérez-Olaeta"/>
    <s v="123 6th Street"/>
    <x v="5"/>
    <s v="WI"/>
    <n v="99999"/>
    <s v="USA"/>
    <s v="Credit Card"/>
    <x v="9"/>
    <x v="5"/>
    <n v="40"/>
    <n v="94"/>
    <x v="218"/>
    <n v="376"/>
  </r>
  <r>
    <n v="1283"/>
    <x v="110"/>
    <n v="28"/>
    <x v="7"/>
    <s v="789 28th Street"/>
    <x v="6"/>
    <s v="TN"/>
    <n v="99999"/>
    <s v="USA"/>
    <x v="5"/>
    <x v="3"/>
    <d v="2014-10-30T00:00:00"/>
    <s v="Shipping Company C"/>
    <s v="Amritansh Raghav"/>
    <s v="789 28th Street"/>
    <x v="6"/>
    <s v="TN"/>
    <n v="99999"/>
    <s v="USA"/>
    <s v="Check"/>
    <x v="5"/>
    <x v="0"/>
    <n v="46"/>
    <n v="86"/>
    <x v="177"/>
    <n v="379.77600000000001"/>
  </r>
  <r>
    <n v="1284"/>
    <x v="111"/>
    <n v="8"/>
    <x v="3"/>
    <s v="123 8th Street"/>
    <x v="2"/>
    <s v="OR"/>
    <n v="99999"/>
    <s v="USA"/>
    <x v="2"/>
    <x v="2"/>
    <d v="2014-10-10T00:00:00"/>
    <s v="Shipping Company C"/>
    <s v="Elizabeth Andersen"/>
    <s v="123 8th Street"/>
    <x v="2"/>
    <s v="OR"/>
    <n v="99999"/>
    <s v="USA"/>
    <s v="Check"/>
    <x v="7"/>
    <x v="3"/>
    <n v="12.75"/>
    <n v="61"/>
    <x v="219"/>
    <n v="78.552750000000003"/>
  </r>
  <r>
    <n v="1285"/>
    <x v="112"/>
    <n v="10"/>
    <x v="8"/>
    <s v="123 10th Street"/>
    <x v="7"/>
    <s v="IL"/>
    <n v="99999"/>
    <s v="USA"/>
    <x v="6"/>
    <x v="1"/>
    <d v="2014-10-12T00:00:00"/>
    <s v="Shipping Company B"/>
    <s v="Roland Wacker"/>
    <s v="123 10th Street"/>
    <x v="7"/>
    <s v="IL"/>
    <n v="99999"/>
    <s v="USA"/>
    <s v="Credit Card"/>
    <x v="10"/>
    <x v="0"/>
    <n v="2.99"/>
    <n v="32"/>
    <x v="220"/>
    <n v="9.7593600000000009"/>
  </r>
  <r>
    <n v="1286"/>
    <x v="113"/>
    <n v="7"/>
    <x v="9"/>
    <s v="123 7th Street"/>
    <x v="8"/>
    <s v="ID"/>
    <n v="99999"/>
    <s v="USA"/>
    <x v="2"/>
    <x v="2"/>
    <m/>
    <m/>
    <s v="Ming-Yang Xie"/>
    <s v="123 7th Street"/>
    <x v="8"/>
    <s v="ID"/>
    <n v="99999"/>
    <s v="USA"/>
    <m/>
    <x v="5"/>
    <x v="0"/>
    <n v="46"/>
    <n v="62"/>
    <x v="221"/>
    <n v="290.904"/>
  </r>
  <r>
    <n v="1287"/>
    <x v="112"/>
    <n v="10"/>
    <x v="8"/>
    <s v="123 10th Street"/>
    <x v="7"/>
    <s v="IL"/>
    <n v="99999"/>
    <s v="USA"/>
    <x v="6"/>
    <x v="1"/>
    <d v="2014-10-12T00:00:00"/>
    <s v="Shipping Company A"/>
    <s v="Roland Wacker"/>
    <s v="123 10th Street"/>
    <x v="7"/>
    <s v="IL"/>
    <n v="99999"/>
    <s v="USA"/>
    <m/>
    <x v="11"/>
    <x v="6"/>
    <n v="25"/>
    <n v="60"/>
    <x v="222"/>
    <n v="154.5"/>
  </r>
  <r>
    <n v="1288"/>
    <x v="112"/>
    <n v="10"/>
    <x v="8"/>
    <s v="123 10th Street"/>
    <x v="7"/>
    <s v="IL"/>
    <n v="99999"/>
    <s v="USA"/>
    <x v="6"/>
    <x v="1"/>
    <d v="2014-10-12T00:00:00"/>
    <s v="Shipping Company A"/>
    <s v="Roland Wacker"/>
    <s v="123 10th Street"/>
    <x v="7"/>
    <s v="IL"/>
    <n v="99999"/>
    <s v="USA"/>
    <m/>
    <x v="12"/>
    <x v="7"/>
    <n v="22"/>
    <n v="51"/>
    <x v="223"/>
    <n v="109.956"/>
  </r>
  <r>
    <n v="1289"/>
    <x v="112"/>
    <n v="10"/>
    <x v="8"/>
    <s v="123 10th Street"/>
    <x v="7"/>
    <s v="IL"/>
    <n v="99999"/>
    <s v="USA"/>
    <x v="6"/>
    <x v="1"/>
    <d v="2014-10-12T00:00:00"/>
    <s v="Shipping Company A"/>
    <s v="Roland Wacker"/>
    <s v="123 10th Street"/>
    <x v="7"/>
    <s v="IL"/>
    <n v="99999"/>
    <s v="USA"/>
    <m/>
    <x v="6"/>
    <x v="2"/>
    <n v="9.1999999999999993"/>
    <n v="49"/>
    <x v="224"/>
    <n v="44.629199999999997"/>
  </r>
  <r>
    <n v="1290"/>
    <x v="114"/>
    <n v="11"/>
    <x v="10"/>
    <s v="123 11th Street"/>
    <x v="9"/>
    <s v="FL"/>
    <n v="99999"/>
    <s v="USA"/>
    <x v="5"/>
    <x v="3"/>
    <m/>
    <s v="Shipping Company C"/>
    <s v="Peter Krschne"/>
    <s v="123 11th Street"/>
    <x v="9"/>
    <s v="FL"/>
    <n v="99999"/>
    <s v="USA"/>
    <m/>
    <x v="1"/>
    <x v="1"/>
    <n v="3.5"/>
    <n v="20"/>
    <x v="225"/>
    <n v="6.93"/>
  </r>
  <r>
    <n v="1291"/>
    <x v="114"/>
    <n v="11"/>
    <x v="10"/>
    <s v="123 11th Street"/>
    <x v="9"/>
    <s v="FL"/>
    <n v="99999"/>
    <s v="USA"/>
    <x v="5"/>
    <x v="3"/>
    <m/>
    <s v="Shipping Company C"/>
    <s v="Peter Krschne"/>
    <s v="123 11th Street"/>
    <x v="9"/>
    <s v="FL"/>
    <n v="99999"/>
    <s v="USA"/>
    <m/>
    <x v="10"/>
    <x v="0"/>
    <n v="2.99"/>
    <n v="49"/>
    <x v="20"/>
    <n v="14.651000000000003"/>
  </r>
  <r>
    <n v="1292"/>
    <x v="115"/>
    <n v="1"/>
    <x v="11"/>
    <s v="123 1st Street"/>
    <x v="10"/>
    <s v="WA"/>
    <n v="99999"/>
    <s v="USA"/>
    <x v="2"/>
    <x v="2"/>
    <m/>
    <m/>
    <s v="Anna Bedecs"/>
    <s v="123 1st Street"/>
    <x v="10"/>
    <s v="WA"/>
    <n v="99999"/>
    <s v="USA"/>
    <m/>
    <x v="4"/>
    <x v="0"/>
    <n v="18"/>
    <n v="22"/>
    <x v="226"/>
    <n v="38.015999999999998"/>
  </r>
  <r>
    <n v="1293"/>
    <x v="115"/>
    <n v="1"/>
    <x v="11"/>
    <s v="123 1st Street"/>
    <x v="10"/>
    <s v="WA"/>
    <n v="99999"/>
    <s v="USA"/>
    <x v="2"/>
    <x v="2"/>
    <m/>
    <m/>
    <s v="Anna Bedecs"/>
    <s v="123 1st Street"/>
    <x v="10"/>
    <s v="WA"/>
    <n v="99999"/>
    <s v="USA"/>
    <m/>
    <x v="5"/>
    <x v="0"/>
    <n v="46"/>
    <n v="73"/>
    <x v="227"/>
    <n v="339.15800000000002"/>
  </r>
  <r>
    <n v="1294"/>
    <x v="115"/>
    <n v="1"/>
    <x v="11"/>
    <s v="123 1st Street"/>
    <x v="10"/>
    <s v="WA"/>
    <n v="99999"/>
    <s v="USA"/>
    <x v="2"/>
    <x v="2"/>
    <m/>
    <m/>
    <s v="Anna Bedecs"/>
    <s v="123 1st Street"/>
    <x v="10"/>
    <s v="WA"/>
    <n v="99999"/>
    <s v="USA"/>
    <m/>
    <x v="10"/>
    <x v="0"/>
    <n v="2.99"/>
    <n v="85"/>
    <x v="228"/>
    <n v="24.652550000000002"/>
  </r>
  <r>
    <n v="1295"/>
    <x v="110"/>
    <n v="28"/>
    <x v="7"/>
    <s v="789 28th Street"/>
    <x v="6"/>
    <s v="TN"/>
    <n v="99999"/>
    <s v="USA"/>
    <x v="5"/>
    <x v="3"/>
    <d v="2014-10-30T00:00:00"/>
    <s v="Shipping Company C"/>
    <s v="Amritansh Raghav"/>
    <s v="789 28th Street"/>
    <x v="6"/>
    <s v="TN"/>
    <n v="99999"/>
    <s v="USA"/>
    <s v="Credit Card"/>
    <x v="8"/>
    <x v="4"/>
    <n v="9.65"/>
    <n v="44"/>
    <x v="229"/>
    <n v="44.158400000000007"/>
  </r>
  <r>
    <n v="1296"/>
    <x v="110"/>
    <n v="28"/>
    <x v="7"/>
    <s v="789 28th Street"/>
    <x v="6"/>
    <s v="TN"/>
    <n v="99999"/>
    <s v="USA"/>
    <x v="5"/>
    <x v="3"/>
    <d v="2014-10-30T00:00:00"/>
    <s v="Shipping Company C"/>
    <s v="Amritansh Raghav"/>
    <s v="789 28th Street"/>
    <x v="6"/>
    <s v="TN"/>
    <n v="99999"/>
    <s v="USA"/>
    <s v="Credit Card"/>
    <x v="13"/>
    <x v="8"/>
    <n v="18.399999999999999"/>
    <n v="24"/>
    <x v="230"/>
    <n v="42.835199999999993"/>
  </r>
  <r>
    <n v="1297"/>
    <x v="116"/>
    <n v="9"/>
    <x v="12"/>
    <s v="123 9th Street"/>
    <x v="11"/>
    <s v="UT"/>
    <n v="99999"/>
    <s v="USA"/>
    <x v="7"/>
    <x v="0"/>
    <d v="2014-10-11T00:00:00"/>
    <s v="Shipping Company A"/>
    <s v="Sven Mortensen"/>
    <s v="123 9th Street"/>
    <x v="11"/>
    <s v="UT"/>
    <n v="99999"/>
    <s v="USA"/>
    <s v="Check"/>
    <x v="14"/>
    <x v="9"/>
    <n v="19.5"/>
    <n v="64"/>
    <x v="231"/>
    <n v="119.80800000000001"/>
  </r>
  <r>
    <n v="1298"/>
    <x v="116"/>
    <n v="9"/>
    <x v="12"/>
    <s v="123 9th Street"/>
    <x v="11"/>
    <s v="UT"/>
    <n v="99999"/>
    <s v="USA"/>
    <x v="7"/>
    <x v="0"/>
    <d v="2014-10-11T00:00:00"/>
    <s v="Shipping Company A"/>
    <s v="Sven Mortensen"/>
    <s v="123 9th Street"/>
    <x v="11"/>
    <s v="UT"/>
    <n v="99999"/>
    <s v="USA"/>
    <s v="Check"/>
    <x v="15"/>
    <x v="10"/>
    <n v="34.799999999999997"/>
    <n v="70"/>
    <x v="232"/>
    <n v="246.03600000000003"/>
  </r>
  <r>
    <n v="1299"/>
    <x v="109"/>
    <n v="6"/>
    <x v="6"/>
    <s v="123 6th Street"/>
    <x v="5"/>
    <s v="WI"/>
    <n v="99999"/>
    <s v="USA"/>
    <x v="4"/>
    <x v="2"/>
    <d v="2014-10-08T00:00:00"/>
    <s v="Shipping Company B"/>
    <s v="Francisco Pérez-Olaeta"/>
    <s v="123 6th Street"/>
    <x v="5"/>
    <s v="WI"/>
    <n v="99999"/>
    <s v="USA"/>
    <s v="Credit Card"/>
    <x v="0"/>
    <x v="0"/>
    <n v="14"/>
    <n v="98"/>
    <x v="233"/>
    <n v="138.57200000000003"/>
  </r>
  <r>
    <n v="1300"/>
    <x v="111"/>
    <n v="8"/>
    <x v="3"/>
    <s v="123 8th Street"/>
    <x v="2"/>
    <s v="OR"/>
    <n v="99999"/>
    <s v="USA"/>
    <x v="2"/>
    <x v="2"/>
    <d v="2014-10-10T00:00:00"/>
    <s v="Shipping Company B"/>
    <s v="Elizabeth Andersen"/>
    <s v="123 8th Street"/>
    <x v="2"/>
    <s v="OR"/>
    <n v="99999"/>
    <s v="USA"/>
    <s v="Check"/>
    <x v="9"/>
    <x v="5"/>
    <n v="40"/>
    <n v="48"/>
    <x v="208"/>
    <n v="188.16"/>
  </r>
  <r>
    <n v="1301"/>
    <x v="111"/>
    <n v="8"/>
    <x v="3"/>
    <s v="123 8th Street"/>
    <x v="2"/>
    <s v="OR"/>
    <n v="99999"/>
    <s v="USA"/>
    <x v="2"/>
    <x v="2"/>
    <d v="2014-10-10T00:00:00"/>
    <s v="Shipping Company B"/>
    <s v="Elizabeth Andersen"/>
    <s v="123 8th Street"/>
    <x v="2"/>
    <s v="OR"/>
    <n v="99999"/>
    <s v="USA"/>
    <s v="Check"/>
    <x v="6"/>
    <x v="2"/>
    <n v="9.1999999999999993"/>
    <n v="100"/>
    <x v="234"/>
    <n v="91.08"/>
  </r>
  <r>
    <n v="1302"/>
    <x v="117"/>
    <n v="25"/>
    <x v="13"/>
    <s v="789 25th Street"/>
    <x v="7"/>
    <s v="IL"/>
    <n v="99999"/>
    <s v="USA"/>
    <x v="6"/>
    <x v="1"/>
    <d v="2014-10-27T00:00:00"/>
    <s v="Shipping Company A"/>
    <s v="John Rodman"/>
    <s v="789 25th Street"/>
    <x v="7"/>
    <s v="IL"/>
    <n v="99999"/>
    <s v="USA"/>
    <s v="Cash"/>
    <x v="21"/>
    <x v="2"/>
    <n v="10"/>
    <n v="90"/>
    <x v="235"/>
    <n v="87.3"/>
  </r>
  <r>
    <n v="1303"/>
    <x v="118"/>
    <n v="26"/>
    <x v="14"/>
    <s v="789 26th Street"/>
    <x v="9"/>
    <s v="FL"/>
    <n v="99999"/>
    <s v="USA"/>
    <x v="5"/>
    <x v="3"/>
    <d v="2014-10-28T00:00:00"/>
    <s v="Shipping Company C"/>
    <s v="Run Liu"/>
    <s v="789 26th Street"/>
    <x v="9"/>
    <s v="FL"/>
    <n v="99999"/>
    <s v="USA"/>
    <s v="Credit Card"/>
    <x v="22"/>
    <x v="13"/>
    <n v="21.35"/>
    <n v="49"/>
    <x v="236"/>
    <n v="102.5227"/>
  </r>
  <r>
    <n v="1304"/>
    <x v="118"/>
    <n v="26"/>
    <x v="14"/>
    <s v="789 26th Street"/>
    <x v="9"/>
    <s v="FL"/>
    <n v="99999"/>
    <s v="USA"/>
    <x v="5"/>
    <x v="3"/>
    <d v="2014-10-28T00:00:00"/>
    <s v="Shipping Company C"/>
    <s v="Run Liu"/>
    <s v="789 26th Street"/>
    <x v="9"/>
    <s v="FL"/>
    <n v="99999"/>
    <s v="USA"/>
    <s v="Credit Card"/>
    <x v="8"/>
    <x v="4"/>
    <n v="9.65"/>
    <n v="71"/>
    <x v="237"/>
    <n v="65.7744"/>
  </r>
  <r>
    <n v="1305"/>
    <x v="118"/>
    <n v="26"/>
    <x v="14"/>
    <s v="789 26th Street"/>
    <x v="9"/>
    <s v="FL"/>
    <n v="99999"/>
    <s v="USA"/>
    <x v="5"/>
    <x v="3"/>
    <d v="2014-10-28T00:00:00"/>
    <s v="Shipping Company C"/>
    <s v="Run Liu"/>
    <s v="789 26th Street"/>
    <x v="9"/>
    <s v="FL"/>
    <n v="99999"/>
    <s v="USA"/>
    <s v="Credit Card"/>
    <x v="13"/>
    <x v="8"/>
    <n v="18.399999999999999"/>
    <n v="10"/>
    <x v="238"/>
    <n v="19.136000000000003"/>
  </r>
  <r>
    <n v="1306"/>
    <x v="119"/>
    <n v="29"/>
    <x v="4"/>
    <s v="789 29th Street"/>
    <x v="3"/>
    <s v="CO"/>
    <n v="99999"/>
    <s v="USA"/>
    <x v="3"/>
    <x v="0"/>
    <d v="2014-10-31T00:00:00"/>
    <s v="Shipping Company B"/>
    <s v="Soo Jung Lee"/>
    <s v="789 29th Street"/>
    <x v="3"/>
    <s v="CO"/>
    <n v="99999"/>
    <s v="USA"/>
    <s v="Check"/>
    <x v="0"/>
    <x v="0"/>
    <n v="14"/>
    <n v="78"/>
    <x v="239"/>
    <n v="112.476"/>
  </r>
  <r>
    <n v="1307"/>
    <x v="109"/>
    <n v="6"/>
    <x v="6"/>
    <s v="123 6th Street"/>
    <x v="5"/>
    <s v="WI"/>
    <n v="99999"/>
    <s v="USA"/>
    <x v="4"/>
    <x v="2"/>
    <d v="2014-10-08T00:00:00"/>
    <s v="Shipping Company C"/>
    <s v="Francisco Pérez-Olaeta"/>
    <s v="123 6th Street"/>
    <x v="5"/>
    <s v="WI"/>
    <n v="99999"/>
    <s v="USA"/>
    <s v="Check"/>
    <x v="7"/>
    <x v="3"/>
    <n v="12.75"/>
    <n v="44"/>
    <x v="134"/>
    <n v="53.856000000000002"/>
  </r>
  <r>
    <n v="1309"/>
    <x v="120"/>
    <n v="4"/>
    <x v="1"/>
    <s v="123 4th Street"/>
    <x v="1"/>
    <s v="NY"/>
    <n v="99999"/>
    <s v="USA"/>
    <x v="1"/>
    <x v="1"/>
    <d v="2014-10-06T00:00:00"/>
    <s v="Shipping Company A"/>
    <s v="Christina Lee"/>
    <s v="123 4th Street"/>
    <x v="1"/>
    <s v="NY"/>
    <n v="99999"/>
    <s v="USA"/>
    <s v="Credit Card"/>
    <x v="23"/>
    <x v="6"/>
    <n v="81"/>
    <n v="82"/>
    <x v="240"/>
    <n v="697.41000000000008"/>
  </r>
  <r>
    <n v="1310"/>
    <x v="120"/>
    <n v="4"/>
    <x v="1"/>
    <s v="123 4th Street"/>
    <x v="1"/>
    <s v="NY"/>
    <n v="99999"/>
    <s v="USA"/>
    <x v="1"/>
    <x v="1"/>
    <d v="2014-10-06T00:00:00"/>
    <s v="Shipping Company A"/>
    <s v="Christina Lee"/>
    <s v="123 4th Street"/>
    <x v="1"/>
    <s v="NY"/>
    <n v="99999"/>
    <s v="USA"/>
    <s v="Credit Card"/>
    <x v="24"/>
    <x v="14"/>
    <n v="7"/>
    <n v="29"/>
    <x v="241"/>
    <n v="20.3"/>
  </r>
  <r>
    <n v="1312"/>
    <x v="111"/>
    <n v="8"/>
    <x v="3"/>
    <s v="123 8th Street"/>
    <x v="2"/>
    <s v="OR"/>
    <n v="99999"/>
    <s v="USA"/>
    <x v="2"/>
    <x v="2"/>
    <d v="2014-10-10T00:00:00"/>
    <s v="Shipping Company C"/>
    <s v="Elizabeth Andersen"/>
    <s v="123 8th Street"/>
    <x v="2"/>
    <s v="OR"/>
    <n v="99999"/>
    <s v="USA"/>
    <s v="Credit Card"/>
    <x v="15"/>
    <x v="10"/>
    <n v="34.799999999999997"/>
    <n v="93"/>
    <x v="242"/>
    <n v="313.93079999999998"/>
  </r>
  <r>
    <n v="1315"/>
    <x v="121"/>
    <n v="3"/>
    <x v="5"/>
    <s v="123 3rd Street"/>
    <x v="4"/>
    <s v="CA"/>
    <n v="99999"/>
    <s v="USA"/>
    <x v="0"/>
    <x v="0"/>
    <d v="2014-10-05T00:00:00"/>
    <s v="Shipping Company B"/>
    <s v="Thomas Axerr"/>
    <s v="123 3rd Street"/>
    <x v="4"/>
    <s v="CA"/>
    <n v="99999"/>
    <s v="USA"/>
    <s v="Cash"/>
    <x v="16"/>
    <x v="7"/>
    <n v="10"/>
    <n v="11"/>
    <x v="243"/>
    <n v="11.440000000000001"/>
  </r>
  <r>
    <n v="1316"/>
    <x v="121"/>
    <n v="3"/>
    <x v="5"/>
    <s v="123 3rd Street"/>
    <x v="4"/>
    <s v="CA"/>
    <n v="99999"/>
    <s v="USA"/>
    <x v="0"/>
    <x v="0"/>
    <d v="2014-10-05T00:00:00"/>
    <s v="Shipping Company B"/>
    <s v="Thomas Axerr"/>
    <s v="123 3rd Street"/>
    <x v="4"/>
    <s v="CA"/>
    <n v="99999"/>
    <s v="USA"/>
    <s v="Cash"/>
    <x v="9"/>
    <x v="5"/>
    <n v="40"/>
    <n v="91"/>
    <x v="157"/>
    <n v="364"/>
  </r>
  <r>
    <n v="1320"/>
    <x v="112"/>
    <n v="10"/>
    <x v="8"/>
    <s v="123 10th Street"/>
    <x v="7"/>
    <s v="IL"/>
    <n v="99999"/>
    <s v="USA"/>
    <x v="6"/>
    <x v="1"/>
    <d v="2014-10-12T00:00:00"/>
    <s v="Shipping Company B"/>
    <s v="Roland Wacker"/>
    <s v="123 10th Street"/>
    <x v="7"/>
    <s v="IL"/>
    <n v="99999"/>
    <s v="USA"/>
    <s v="Credit Card"/>
    <x v="18"/>
    <x v="1"/>
    <n v="10"/>
    <n v="12"/>
    <x v="244"/>
    <n v="12.36"/>
  </r>
  <r>
    <n v="1322"/>
    <x v="112"/>
    <n v="10"/>
    <x v="8"/>
    <s v="123 10th Street"/>
    <x v="7"/>
    <s v="IL"/>
    <n v="99999"/>
    <s v="USA"/>
    <x v="6"/>
    <x v="1"/>
    <m/>
    <s v="Shipping Company A"/>
    <s v="Roland Wacker"/>
    <s v="123 10th Street"/>
    <x v="7"/>
    <s v="IL"/>
    <n v="99999"/>
    <s v="USA"/>
    <m/>
    <x v="1"/>
    <x v="1"/>
    <n v="3.5"/>
    <n v="78"/>
    <x v="214"/>
    <n v="27.3"/>
  </r>
  <r>
    <n v="1323"/>
    <x v="114"/>
    <n v="11"/>
    <x v="10"/>
    <s v="123 11th Street"/>
    <x v="9"/>
    <s v="FL"/>
    <n v="99999"/>
    <s v="USA"/>
    <x v="5"/>
    <x v="3"/>
    <m/>
    <s v="Shipping Company C"/>
    <s v="Peter Krschne"/>
    <s v="123 11th Street"/>
    <x v="9"/>
    <s v="FL"/>
    <n v="99999"/>
    <s v="USA"/>
    <m/>
    <x v="9"/>
    <x v="5"/>
    <n v="40"/>
    <n v="60"/>
    <x v="245"/>
    <n v="228"/>
  </r>
  <r>
    <n v="1324"/>
    <x v="115"/>
    <n v="1"/>
    <x v="11"/>
    <s v="123 1st Street"/>
    <x v="10"/>
    <s v="WA"/>
    <n v="99999"/>
    <s v="USA"/>
    <x v="2"/>
    <x v="2"/>
    <m/>
    <s v="Shipping Company C"/>
    <s v="Anna Bedecs"/>
    <s v="123 1st Street"/>
    <x v="10"/>
    <s v="WA"/>
    <n v="99999"/>
    <s v="USA"/>
    <m/>
    <x v="13"/>
    <x v="8"/>
    <n v="18.399999999999999"/>
    <n v="23"/>
    <x v="246"/>
    <n v="43.589600000000004"/>
  </r>
  <r>
    <n v="1325"/>
    <x v="110"/>
    <n v="28"/>
    <x v="7"/>
    <s v="789 28th Street"/>
    <x v="6"/>
    <s v="TN"/>
    <n v="99999"/>
    <s v="USA"/>
    <x v="5"/>
    <x v="3"/>
    <d v="2014-10-30T00:00:00"/>
    <s v="Shipping Company C"/>
    <s v="Amritansh Raghav"/>
    <s v="789 28th Street"/>
    <x v="6"/>
    <s v="TN"/>
    <n v="99999"/>
    <s v="USA"/>
    <s v="Credit Card"/>
    <x v="5"/>
    <x v="0"/>
    <n v="46"/>
    <n v="34"/>
    <x v="247"/>
    <n v="157.964"/>
  </r>
  <r>
    <n v="1326"/>
    <x v="116"/>
    <n v="9"/>
    <x v="12"/>
    <s v="123 9th Street"/>
    <x v="11"/>
    <s v="UT"/>
    <n v="99999"/>
    <s v="USA"/>
    <x v="7"/>
    <x v="0"/>
    <d v="2014-10-11T00:00:00"/>
    <s v="Shipping Company A"/>
    <s v="Sven Mortensen"/>
    <s v="123 9th Street"/>
    <x v="11"/>
    <s v="UT"/>
    <n v="99999"/>
    <s v="USA"/>
    <s v="Check"/>
    <x v="8"/>
    <x v="4"/>
    <n v="9.65"/>
    <n v="89"/>
    <x v="248"/>
    <n v="86.743850000000009"/>
  </r>
  <r>
    <n v="1327"/>
    <x v="109"/>
    <n v="6"/>
    <x v="6"/>
    <s v="123 6th Street"/>
    <x v="5"/>
    <s v="WI"/>
    <n v="99999"/>
    <s v="USA"/>
    <x v="4"/>
    <x v="2"/>
    <d v="2014-10-08T00:00:00"/>
    <s v="Shipping Company B"/>
    <s v="Francisco Pérez-Olaeta"/>
    <s v="123 6th Street"/>
    <x v="5"/>
    <s v="WI"/>
    <n v="99999"/>
    <s v="USA"/>
    <s v="Credit Card"/>
    <x v="7"/>
    <x v="3"/>
    <n v="12.75"/>
    <n v="82"/>
    <x v="249"/>
    <n v="103.50450000000001"/>
  </r>
  <r>
    <n v="1328"/>
    <x v="111"/>
    <n v="8"/>
    <x v="3"/>
    <s v="123 8th Street"/>
    <x v="2"/>
    <s v="OR"/>
    <n v="99999"/>
    <s v="USA"/>
    <x v="2"/>
    <x v="2"/>
    <d v="2014-10-10T00:00:00"/>
    <s v="Shipping Company B"/>
    <s v="Elizabeth Andersen"/>
    <s v="123 8th Street"/>
    <x v="2"/>
    <s v="OR"/>
    <n v="99999"/>
    <s v="USA"/>
    <s v="Check"/>
    <x v="7"/>
    <x v="3"/>
    <n v="12.75"/>
    <n v="43"/>
    <x v="250"/>
    <n v="52.631999999999998"/>
  </r>
  <r>
    <n v="1329"/>
    <x v="122"/>
    <n v="10"/>
    <x v="8"/>
    <s v="123 10th Street"/>
    <x v="7"/>
    <s v="IL"/>
    <n v="99999"/>
    <s v="USA"/>
    <x v="6"/>
    <x v="1"/>
    <d v="2014-11-12T00:00:00"/>
    <s v="Shipping Company A"/>
    <s v="Roland Wacker"/>
    <s v="123 10th Street"/>
    <x v="7"/>
    <s v="IL"/>
    <n v="99999"/>
    <s v="USA"/>
    <m/>
    <x v="12"/>
    <x v="7"/>
    <n v="22"/>
    <n v="96"/>
    <x v="251"/>
    <n v="221.76000000000002"/>
  </r>
  <r>
    <n v="1330"/>
    <x v="122"/>
    <n v="10"/>
    <x v="8"/>
    <s v="123 10th Street"/>
    <x v="7"/>
    <s v="IL"/>
    <n v="99999"/>
    <s v="USA"/>
    <x v="6"/>
    <x v="1"/>
    <d v="2014-11-12T00:00:00"/>
    <s v="Shipping Company A"/>
    <s v="Roland Wacker"/>
    <s v="123 10th Street"/>
    <x v="7"/>
    <s v="IL"/>
    <n v="99999"/>
    <s v="USA"/>
    <m/>
    <x v="6"/>
    <x v="2"/>
    <n v="9.1999999999999993"/>
    <n v="34"/>
    <x v="252"/>
    <n v="31.279999999999998"/>
  </r>
  <r>
    <n v="1331"/>
    <x v="123"/>
    <n v="11"/>
    <x v="10"/>
    <s v="123 11th Street"/>
    <x v="9"/>
    <s v="FL"/>
    <n v="99999"/>
    <s v="USA"/>
    <x v="5"/>
    <x v="3"/>
    <m/>
    <s v="Shipping Company C"/>
    <s v="Peter Krschne"/>
    <s v="123 11th Street"/>
    <x v="9"/>
    <s v="FL"/>
    <n v="99999"/>
    <s v="USA"/>
    <m/>
    <x v="1"/>
    <x v="1"/>
    <n v="3.5"/>
    <n v="42"/>
    <x v="253"/>
    <n v="15.141000000000002"/>
  </r>
  <r>
    <n v="1332"/>
    <x v="123"/>
    <n v="11"/>
    <x v="10"/>
    <s v="123 11th Street"/>
    <x v="9"/>
    <s v="FL"/>
    <n v="99999"/>
    <s v="USA"/>
    <x v="5"/>
    <x v="3"/>
    <m/>
    <s v="Shipping Company C"/>
    <s v="Peter Krschne"/>
    <s v="123 11th Street"/>
    <x v="9"/>
    <s v="FL"/>
    <n v="99999"/>
    <s v="USA"/>
    <m/>
    <x v="10"/>
    <x v="0"/>
    <n v="2.99"/>
    <n v="100"/>
    <x v="254"/>
    <n v="30.498000000000001"/>
  </r>
  <r>
    <n v="1333"/>
    <x v="124"/>
    <n v="1"/>
    <x v="11"/>
    <s v="123 1st Street"/>
    <x v="10"/>
    <s v="WA"/>
    <n v="99999"/>
    <s v="USA"/>
    <x v="2"/>
    <x v="2"/>
    <m/>
    <m/>
    <s v="Anna Bedecs"/>
    <s v="123 1st Street"/>
    <x v="10"/>
    <s v="WA"/>
    <n v="99999"/>
    <s v="USA"/>
    <m/>
    <x v="4"/>
    <x v="0"/>
    <n v="18"/>
    <n v="42"/>
    <x v="21"/>
    <n v="76.356000000000009"/>
  </r>
  <r>
    <n v="1334"/>
    <x v="124"/>
    <n v="1"/>
    <x v="11"/>
    <s v="123 1st Street"/>
    <x v="10"/>
    <s v="WA"/>
    <n v="99999"/>
    <s v="USA"/>
    <x v="2"/>
    <x v="2"/>
    <m/>
    <m/>
    <s v="Anna Bedecs"/>
    <s v="123 1st Street"/>
    <x v="10"/>
    <s v="WA"/>
    <n v="99999"/>
    <s v="USA"/>
    <m/>
    <x v="5"/>
    <x v="0"/>
    <n v="46"/>
    <n v="16"/>
    <x v="129"/>
    <n v="70.656000000000006"/>
  </r>
  <r>
    <n v="1335"/>
    <x v="124"/>
    <n v="1"/>
    <x v="11"/>
    <s v="123 1st Street"/>
    <x v="10"/>
    <s v="WA"/>
    <n v="99999"/>
    <s v="USA"/>
    <x v="2"/>
    <x v="2"/>
    <m/>
    <m/>
    <s v="Anna Bedecs"/>
    <s v="123 1st Street"/>
    <x v="10"/>
    <s v="WA"/>
    <n v="99999"/>
    <s v="USA"/>
    <m/>
    <x v="10"/>
    <x v="0"/>
    <n v="2.99"/>
    <n v="22"/>
    <x v="255"/>
    <n v="6.3806599999999998"/>
  </r>
  <r>
    <n v="1336"/>
    <x v="125"/>
    <n v="28"/>
    <x v="7"/>
    <s v="789 28th Street"/>
    <x v="6"/>
    <s v="TN"/>
    <n v="99999"/>
    <s v="USA"/>
    <x v="5"/>
    <x v="3"/>
    <d v="2014-11-30T00:00:00"/>
    <s v="Shipping Company C"/>
    <s v="Amritansh Raghav"/>
    <s v="789 28th Street"/>
    <x v="6"/>
    <s v="TN"/>
    <n v="99999"/>
    <s v="USA"/>
    <s v="Credit Card"/>
    <x v="8"/>
    <x v="4"/>
    <n v="9.65"/>
    <n v="46"/>
    <x v="256"/>
    <n v="45.721700000000006"/>
  </r>
  <r>
    <n v="1337"/>
    <x v="125"/>
    <n v="28"/>
    <x v="7"/>
    <s v="789 28th Street"/>
    <x v="6"/>
    <s v="TN"/>
    <n v="99999"/>
    <s v="USA"/>
    <x v="5"/>
    <x v="3"/>
    <n v="41973"/>
    <s v="Shipping Company C"/>
    <s v="Amritansh Raghav"/>
    <s v="789 28th Street"/>
    <x v="6"/>
    <s v="TN"/>
    <n v="99999"/>
    <s v="USA"/>
    <s v="Credit Card"/>
    <x v="13"/>
    <x v="8"/>
    <n v="18.399999999999999"/>
    <n v="100"/>
    <x v="257"/>
    <n v="184"/>
  </r>
  <r>
    <n v="1338"/>
    <x v="126"/>
    <n v="9"/>
    <x v="12"/>
    <s v="123 9th Street"/>
    <x v="11"/>
    <s v="UT"/>
    <n v="99999"/>
    <s v="USA"/>
    <x v="7"/>
    <x v="0"/>
    <n v="41954"/>
    <s v="Shipping Company A"/>
    <s v="Sven Mortensen"/>
    <s v="123 9th Street"/>
    <x v="11"/>
    <s v="UT"/>
    <n v="99999"/>
    <s v="USA"/>
    <s v="Check"/>
    <x v="14"/>
    <x v="9"/>
    <n v="19.5"/>
    <n v="87"/>
    <x v="258"/>
    <n v="174.73950000000002"/>
  </r>
  <r>
    <n v="1339"/>
    <x v="126"/>
    <n v="9"/>
    <x v="12"/>
    <s v="123 9th Street"/>
    <x v="11"/>
    <s v="UT"/>
    <n v="99999"/>
    <s v="USA"/>
    <x v="7"/>
    <x v="0"/>
    <n v="41954"/>
    <s v="Shipping Company A"/>
    <s v="Sven Mortensen"/>
    <s v="123 9th Street"/>
    <x v="11"/>
    <s v="UT"/>
    <n v="99999"/>
    <s v="USA"/>
    <s v="Check"/>
    <x v="15"/>
    <x v="10"/>
    <n v="34.799999999999997"/>
    <n v="58"/>
    <x v="259"/>
    <n v="205.8768"/>
  </r>
  <r>
    <n v="1340"/>
    <x v="127"/>
    <n v="6"/>
    <x v="6"/>
    <s v="123 6th Street"/>
    <x v="5"/>
    <s v="WI"/>
    <n v="99999"/>
    <s v="USA"/>
    <x v="4"/>
    <x v="2"/>
    <n v="41951"/>
    <s v="Shipping Company B"/>
    <s v="Francisco Pérez-Olaeta"/>
    <s v="123 6th Street"/>
    <x v="5"/>
    <s v="WI"/>
    <n v="99999"/>
    <s v="USA"/>
    <s v="Credit Card"/>
    <x v="0"/>
    <x v="0"/>
    <n v="14"/>
    <n v="85"/>
    <x v="260"/>
    <n v="120.19"/>
  </r>
  <r>
    <n v="1341"/>
    <x v="128"/>
    <n v="8"/>
    <x v="3"/>
    <s v="123 8th Street"/>
    <x v="2"/>
    <s v="OR"/>
    <n v="99999"/>
    <s v="USA"/>
    <x v="2"/>
    <x v="2"/>
    <n v="41953"/>
    <s v="Shipping Company B"/>
    <s v="Elizabeth Andersen"/>
    <s v="123 8th Street"/>
    <x v="2"/>
    <s v="OR"/>
    <n v="99999"/>
    <s v="USA"/>
    <s v="Check"/>
    <x v="9"/>
    <x v="5"/>
    <n v="40"/>
    <n v="28"/>
    <x v="139"/>
    <n v="110.88"/>
  </r>
  <r>
    <n v="1342"/>
    <x v="128"/>
    <n v="8"/>
    <x v="3"/>
    <s v="123 8th Street"/>
    <x v="2"/>
    <s v="OR"/>
    <n v="99999"/>
    <s v="USA"/>
    <x v="2"/>
    <x v="2"/>
    <d v="2014-11-10T00:00:00"/>
    <s v="Shipping Company B"/>
    <s v="Elizabeth Andersen"/>
    <s v="123 8th Street"/>
    <x v="2"/>
    <s v="OR"/>
    <n v="99999"/>
    <s v="USA"/>
    <s v="Check"/>
    <x v="6"/>
    <x v="2"/>
    <n v="9.1999999999999993"/>
    <n v="19"/>
    <x v="261"/>
    <n v="17.130400000000002"/>
  </r>
  <r>
    <n v="1343"/>
    <x v="129"/>
    <n v="25"/>
    <x v="13"/>
    <s v="789 25th Street"/>
    <x v="7"/>
    <s v="IL"/>
    <n v="99999"/>
    <s v="USA"/>
    <x v="6"/>
    <x v="1"/>
    <d v="2014-11-27T00:00:00"/>
    <s v="Shipping Company A"/>
    <s v="John Rodman"/>
    <s v="789 25th Street"/>
    <x v="7"/>
    <s v="IL"/>
    <n v="99999"/>
    <s v="USA"/>
    <s v="Cash"/>
    <x v="21"/>
    <x v="2"/>
    <n v="10"/>
    <n v="99"/>
    <x v="82"/>
    <n v="102.96000000000001"/>
  </r>
  <r>
    <n v="1344"/>
    <x v="130"/>
    <n v="26"/>
    <x v="14"/>
    <s v="789 26th Street"/>
    <x v="9"/>
    <s v="FL"/>
    <n v="99999"/>
    <s v="USA"/>
    <x v="5"/>
    <x v="3"/>
    <d v="2014-11-28T00:00:00"/>
    <s v="Shipping Company C"/>
    <s v="Run Liu"/>
    <s v="789 26th Street"/>
    <x v="9"/>
    <s v="FL"/>
    <n v="99999"/>
    <s v="USA"/>
    <s v="Credit Card"/>
    <x v="22"/>
    <x v="13"/>
    <n v="21.35"/>
    <n v="69"/>
    <x v="262"/>
    <n v="153.20760000000004"/>
  </r>
  <r>
    <n v="1345"/>
    <x v="130"/>
    <n v="26"/>
    <x v="14"/>
    <s v="789 26th Street"/>
    <x v="9"/>
    <s v="FL"/>
    <n v="99999"/>
    <s v="USA"/>
    <x v="5"/>
    <x v="3"/>
    <d v="2014-11-28T00:00:00"/>
    <s v="Shipping Company C"/>
    <s v="Run Liu"/>
    <s v="789 26th Street"/>
    <x v="9"/>
    <s v="FL"/>
    <n v="99999"/>
    <s v="USA"/>
    <s v="Credit Card"/>
    <x v="8"/>
    <x v="4"/>
    <n v="9.65"/>
    <n v="37"/>
    <x v="263"/>
    <n v="33.919750000000001"/>
  </r>
  <r>
    <n v="1346"/>
    <x v="130"/>
    <n v="26"/>
    <x v="14"/>
    <s v="789 26th Street"/>
    <x v="9"/>
    <s v="FL"/>
    <n v="99999"/>
    <s v="USA"/>
    <x v="5"/>
    <x v="3"/>
    <d v="2014-11-28T00:00:00"/>
    <s v="Shipping Company C"/>
    <s v="Run Liu"/>
    <s v="789 26th Street"/>
    <x v="9"/>
    <s v="FL"/>
    <n v="99999"/>
    <s v="USA"/>
    <s v="Credit Card"/>
    <x v="13"/>
    <x v="8"/>
    <n v="18.399999999999999"/>
    <n v="64"/>
    <x v="107"/>
    <n v="118.93759999999999"/>
  </r>
  <r>
    <n v="1347"/>
    <x v="131"/>
    <n v="29"/>
    <x v="4"/>
    <s v="789 29th Street"/>
    <x v="3"/>
    <s v="CO"/>
    <n v="99999"/>
    <s v="USA"/>
    <x v="3"/>
    <x v="0"/>
    <d v="2014-12-01T00:00:00"/>
    <s v="Shipping Company B"/>
    <s v="Soo Jung Lee"/>
    <s v="789 29th Street"/>
    <x v="3"/>
    <s v="CO"/>
    <n v="99999"/>
    <s v="USA"/>
    <s v="Check"/>
    <x v="0"/>
    <x v="0"/>
    <n v="14"/>
    <n v="38"/>
    <x v="197"/>
    <n v="55.328000000000003"/>
  </r>
  <r>
    <n v="1348"/>
    <x v="127"/>
    <n v="6"/>
    <x v="6"/>
    <s v="123 6th Street"/>
    <x v="5"/>
    <s v="WI"/>
    <n v="99999"/>
    <s v="USA"/>
    <x v="4"/>
    <x v="2"/>
    <d v="2014-11-08T00:00:00"/>
    <s v="Shipping Company C"/>
    <s v="Francisco Pérez-Olaeta"/>
    <s v="123 6th Street"/>
    <x v="5"/>
    <s v="WI"/>
    <n v="99999"/>
    <s v="USA"/>
    <s v="Check"/>
    <x v="7"/>
    <x v="3"/>
    <n v="12.75"/>
    <n v="15"/>
    <x v="264"/>
    <n v="18.55125"/>
  </r>
  <r>
    <n v="1350"/>
    <x v="132"/>
    <n v="4"/>
    <x v="1"/>
    <s v="123 4th Street"/>
    <x v="1"/>
    <s v="NY"/>
    <n v="99999"/>
    <s v="USA"/>
    <x v="1"/>
    <x v="1"/>
    <d v="2014-11-06T00:00:00"/>
    <s v="Shipping Company A"/>
    <s v="Christina Lee"/>
    <s v="123 4th Street"/>
    <x v="1"/>
    <s v="NY"/>
    <n v="99999"/>
    <s v="USA"/>
    <s v="Credit Card"/>
    <x v="23"/>
    <x v="6"/>
    <n v="81"/>
    <n v="52"/>
    <x v="265"/>
    <n v="412.77600000000001"/>
  </r>
  <r>
    <n v="1351"/>
    <x v="132"/>
    <n v="4"/>
    <x v="1"/>
    <s v="123 4th Street"/>
    <x v="1"/>
    <s v="NY"/>
    <n v="99999"/>
    <s v="USA"/>
    <x v="1"/>
    <x v="1"/>
    <d v="2014-11-06T00:00:00"/>
    <s v="Shipping Company A"/>
    <s v="Christina Lee"/>
    <s v="123 4th Street"/>
    <x v="1"/>
    <s v="NY"/>
    <n v="99999"/>
    <s v="USA"/>
    <s v="Credit Card"/>
    <x v="24"/>
    <x v="14"/>
    <n v="7"/>
    <n v="37"/>
    <x v="58"/>
    <n v="25.382000000000001"/>
  </r>
  <r>
    <n v="1353"/>
    <x v="128"/>
    <n v="8"/>
    <x v="3"/>
    <s v="123 8th Street"/>
    <x v="2"/>
    <s v="OR"/>
    <n v="99999"/>
    <s v="USA"/>
    <x v="2"/>
    <x v="2"/>
    <d v="2014-11-10T00:00:00"/>
    <s v="Shipping Company C"/>
    <s v="Elizabeth Andersen"/>
    <s v="123 8th Street"/>
    <x v="2"/>
    <s v="OR"/>
    <n v="99999"/>
    <s v="USA"/>
    <s v="Credit Card"/>
    <x v="15"/>
    <x v="10"/>
    <n v="34.799999999999997"/>
    <n v="24"/>
    <x v="266"/>
    <n v="80.179199999999994"/>
  </r>
  <r>
    <n v="1356"/>
    <x v="133"/>
    <n v="3"/>
    <x v="5"/>
    <s v="123 3rd Street"/>
    <x v="4"/>
    <s v="CA"/>
    <n v="99999"/>
    <s v="USA"/>
    <x v="0"/>
    <x v="0"/>
    <d v="2014-11-05T00:00:00"/>
    <s v="Shipping Company B"/>
    <s v="Thomas Axerr"/>
    <s v="123 3rd Street"/>
    <x v="4"/>
    <s v="CA"/>
    <n v="99999"/>
    <s v="USA"/>
    <s v="Cash"/>
    <x v="16"/>
    <x v="7"/>
    <n v="10"/>
    <n v="36"/>
    <x v="267"/>
    <n v="37.08"/>
  </r>
  <r>
    <n v="1357"/>
    <x v="133"/>
    <n v="3"/>
    <x v="5"/>
    <s v="123 3rd Street"/>
    <x v="4"/>
    <s v="CA"/>
    <n v="99999"/>
    <s v="USA"/>
    <x v="0"/>
    <x v="0"/>
    <d v="2014-11-05T00:00:00"/>
    <s v="Shipping Company B"/>
    <s v="Thomas Axerr"/>
    <s v="123 3rd Street"/>
    <x v="4"/>
    <s v="CA"/>
    <n v="99999"/>
    <s v="USA"/>
    <s v="Cash"/>
    <x v="9"/>
    <x v="5"/>
    <n v="40"/>
    <n v="24"/>
    <x v="268"/>
    <n v="96"/>
  </r>
  <r>
    <n v="1361"/>
    <x v="122"/>
    <n v="10"/>
    <x v="8"/>
    <s v="123 10th Street"/>
    <x v="7"/>
    <s v="IL"/>
    <n v="99999"/>
    <s v="USA"/>
    <x v="6"/>
    <x v="1"/>
    <d v="2014-11-12T00:00:00"/>
    <s v="Shipping Company B"/>
    <s v="Roland Wacker"/>
    <s v="123 10th Street"/>
    <x v="7"/>
    <s v="IL"/>
    <n v="99999"/>
    <s v="USA"/>
    <s v="Credit Card"/>
    <x v="18"/>
    <x v="1"/>
    <n v="10"/>
    <n v="20"/>
    <x v="269"/>
    <n v="20"/>
  </r>
  <r>
    <n v="1363"/>
    <x v="122"/>
    <n v="10"/>
    <x v="8"/>
    <s v="123 10th Street"/>
    <x v="7"/>
    <s v="IL"/>
    <n v="99999"/>
    <s v="USA"/>
    <x v="6"/>
    <x v="1"/>
    <m/>
    <s v="Shipping Company A"/>
    <s v="Roland Wacker"/>
    <s v="123 10th Street"/>
    <x v="7"/>
    <s v="IL"/>
    <n v="99999"/>
    <s v="USA"/>
    <m/>
    <x v="1"/>
    <x v="1"/>
    <n v="3.5"/>
    <n v="11"/>
    <x v="4"/>
    <n v="3.7345000000000002"/>
  </r>
  <r>
    <n v="1364"/>
    <x v="123"/>
    <n v="11"/>
    <x v="10"/>
    <s v="123 11th Street"/>
    <x v="9"/>
    <s v="FL"/>
    <n v="99999"/>
    <s v="USA"/>
    <x v="5"/>
    <x v="3"/>
    <m/>
    <s v="Shipping Company C"/>
    <s v="Peter Krschne"/>
    <s v="123 11th Street"/>
    <x v="9"/>
    <s v="FL"/>
    <n v="99999"/>
    <s v="USA"/>
    <m/>
    <x v="9"/>
    <x v="5"/>
    <n v="40"/>
    <n v="78"/>
    <x v="189"/>
    <n v="299.52"/>
  </r>
  <r>
    <n v="1365"/>
    <x v="124"/>
    <n v="1"/>
    <x v="11"/>
    <s v="123 1st Street"/>
    <x v="10"/>
    <s v="WA"/>
    <n v="99999"/>
    <s v="USA"/>
    <x v="2"/>
    <x v="2"/>
    <m/>
    <s v="Shipping Company C"/>
    <s v="Anna Bedecs"/>
    <s v="123 1st Street"/>
    <x v="10"/>
    <s v="WA"/>
    <n v="99999"/>
    <s v="USA"/>
    <m/>
    <x v="13"/>
    <x v="8"/>
    <n v="18.399999999999999"/>
    <n v="76"/>
    <x v="270"/>
    <n v="144.0352"/>
  </r>
  <r>
    <n v="1366"/>
    <x v="125"/>
    <n v="28"/>
    <x v="7"/>
    <s v="789 28th Street"/>
    <x v="6"/>
    <s v="TN"/>
    <n v="99999"/>
    <s v="USA"/>
    <x v="5"/>
    <x v="3"/>
    <d v="2014-11-30T00:00:00"/>
    <s v="Shipping Company C"/>
    <s v="Amritansh Raghav"/>
    <s v="789 28th Street"/>
    <x v="6"/>
    <s v="TN"/>
    <n v="99999"/>
    <s v="USA"/>
    <s v="Credit Card"/>
    <x v="5"/>
    <x v="0"/>
    <n v="46"/>
    <n v="57"/>
    <x v="271"/>
    <n v="272.68799999999999"/>
  </r>
  <r>
    <n v="1367"/>
    <x v="126"/>
    <n v="9"/>
    <x v="12"/>
    <s v="123 9th Street"/>
    <x v="11"/>
    <s v="UT"/>
    <n v="99999"/>
    <s v="USA"/>
    <x v="7"/>
    <x v="0"/>
    <d v="2014-11-11T00:00:00"/>
    <s v="Shipping Company A"/>
    <s v="Sven Mortensen"/>
    <s v="123 9th Street"/>
    <x v="11"/>
    <s v="UT"/>
    <n v="99999"/>
    <s v="USA"/>
    <s v="Check"/>
    <x v="8"/>
    <x v="4"/>
    <n v="9.65"/>
    <n v="14"/>
    <x v="272"/>
    <n v="12.9696"/>
  </r>
  <r>
    <n v="1368"/>
    <x v="134"/>
    <n v="27"/>
    <x v="0"/>
    <s v="789 27th Street"/>
    <x v="0"/>
    <s v="NV"/>
    <n v="99999"/>
    <s v="USA"/>
    <x v="0"/>
    <x v="0"/>
    <d v="2014-12-29T00:00:00"/>
    <s v="Shipping Company B"/>
    <s v="Karen Toh"/>
    <s v="789 27th Street"/>
    <x v="0"/>
    <s v="NV"/>
    <n v="99999"/>
    <s v="USA"/>
    <s v="Check"/>
    <x v="0"/>
    <x v="0"/>
    <n v="14"/>
    <n v="14"/>
    <x v="273"/>
    <n v="19.796000000000003"/>
  </r>
  <r>
    <n v="1369"/>
    <x v="134"/>
    <n v="27"/>
    <x v="0"/>
    <s v="789 27th Street"/>
    <x v="0"/>
    <s v="NV"/>
    <n v="99999"/>
    <s v="USA"/>
    <x v="0"/>
    <x v="0"/>
    <d v="2014-12-29T00:00:00"/>
    <s v="Shipping Company B"/>
    <s v="Karen Toh"/>
    <s v="789 27th Street"/>
    <x v="0"/>
    <s v="NV"/>
    <n v="99999"/>
    <s v="USA"/>
    <s v="Check"/>
    <x v="1"/>
    <x v="1"/>
    <n v="3.5"/>
    <n v="70"/>
    <x v="274"/>
    <n v="25.234999999999999"/>
  </r>
  <r>
    <n v="1370"/>
    <x v="135"/>
    <n v="4"/>
    <x v="1"/>
    <s v="123 4th Street"/>
    <x v="1"/>
    <s v="NY"/>
    <n v="99999"/>
    <s v="USA"/>
    <x v="1"/>
    <x v="1"/>
    <d v="2014-12-06T00:00:00"/>
    <s v="Shipping Company A"/>
    <s v="Christina Lee"/>
    <s v="123 4th Street"/>
    <x v="1"/>
    <s v="NY"/>
    <n v="99999"/>
    <s v="USA"/>
    <s v="Credit Card"/>
    <x v="2"/>
    <x v="1"/>
    <n v="30"/>
    <n v="100"/>
    <x v="275"/>
    <n v="291"/>
  </r>
  <r>
    <n v="1371"/>
    <x v="135"/>
    <n v="4"/>
    <x v="1"/>
    <s v="123 4th Street"/>
    <x v="1"/>
    <s v="NY"/>
    <n v="99999"/>
    <s v="USA"/>
    <x v="1"/>
    <x v="1"/>
    <d v="2014-12-06T00:00:00"/>
    <s v="Shipping Company A"/>
    <s v="Christina Lee"/>
    <s v="123 4th Street"/>
    <x v="1"/>
    <s v="NY"/>
    <n v="99999"/>
    <s v="USA"/>
    <s v="Credit Card"/>
    <x v="3"/>
    <x v="1"/>
    <n v="53"/>
    <n v="27"/>
    <x v="276"/>
    <n v="143.1"/>
  </r>
  <r>
    <n v="1372"/>
    <x v="135"/>
    <n v="4"/>
    <x v="1"/>
    <s v="123 4th Street"/>
    <x v="1"/>
    <s v="NY"/>
    <n v="99999"/>
    <s v="USA"/>
    <x v="1"/>
    <x v="1"/>
    <d v="2014-12-06T00:00:00"/>
    <s v="Shipping Company A"/>
    <s v="Christina Lee"/>
    <s v="123 4th Street"/>
    <x v="1"/>
    <s v="NY"/>
    <n v="99999"/>
    <s v="USA"/>
    <s v="Credit Card"/>
    <x v="1"/>
    <x v="1"/>
    <n v="3.5"/>
    <n v="70"/>
    <x v="274"/>
    <n v="24.009999999999998"/>
  </r>
  <r>
    <n v="1373"/>
    <x v="136"/>
    <n v="12"/>
    <x v="2"/>
    <s v="123 12th Street"/>
    <x v="0"/>
    <s v="NV"/>
    <n v="99999"/>
    <s v="USA"/>
    <x v="0"/>
    <x v="0"/>
    <d v="2014-12-14T00:00:00"/>
    <s v="Shipping Company B"/>
    <s v="John Edwards"/>
    <s v="123 12th Street"/>
    <x v="0"/>
    <s v="NV"/>
    <n v="99999"/>
    <s v="USA"/>
    <s v="Credit Card"/>
    <x v="4"/>
    <x v="0"/>
    <n v="18"/>
    <n v="57"/>
    <x v="277"/>
    <n v="102.60000000000001"/>
  </r>
  <r>
    <n v="1374"/>
    <x v="136"/>
    <n v="12"/>
    <x v="2"/>
    <s v="123 12th Street"/>
    <x v="0"/>
    <s v="NV"/>
    <n v="99999"/>
    <s v="USA"/>
    <x v="0"/>
    <x v="0"/>
    <d v="2014-12-14T00:00:00"/>
    <s v="Shipping Company B"/>
    <s v="John Edwards"/>
    <s v="123 12th Street"/>
    <x v="0"/>
    <s v="NV"/>
    <n v="99999"/>
    <s v="USA"/>
    <s v="Credit Card"/>
    <x v="5"/>
    <x v="0"/>
    <n v="46"/>
    <n v="83"/>
    <x v="278"/>
    <n v="374.16399999999999"/>
  </r>
  <r>
    <n v="1375"/>
    <x v="137"/>
    <n v="8"/>
    <x v="3"/>
    <s v="123 8th Street"/>
    <x v="2"/>
    <s v="OR"/>
    <n v="99999"/>
    <s v="USA"/>
    <x v="2"/>
    <x v="2"/>
    <d v="2014-12-10T00:00:00"/>
    <s v="Shipping Company C"/>
    <s v="Elizabeth Andersen"/>
    <s v="123 8th Street"/>
    <x v="2"/>
    <s v="OR"/>
    <n v="99999"/>
    <s v="USA"/>
    <s v="Credit Card"/>
    <x v="6"/>
    <x v="2"/>
    <n v="9.1999999999999993"/>
    <n v="76"/>
    <x v="279"/>
    <n v="67.123199999999997"/>
  </r>
  <r>
    <n v="1376"/>
    <x v="135"/>
    <n v="4"/>
    <x v="1"/>
    <s v="123 4th Street"/>
    <x v="1"/>
    <s v="NY"/>
    <n v="99999"/>
    <s v="USA"/>
    <x v="1"/>
    <x v="1"/>
    <n v="41979"/>
    <s v="Shipping Company C"/>
    <s v="Christina Lee"/>
    <s v="123 4th Street"/>
    <x v="1"/>
    <s v="NY"/>
    <n v="99999"/>
    <s v="USA"/>
    <s v="Check"/>
    <x v="6"/>
    <x v="2"/>
    <n v="9.1999999999999993"/>
    <n v="80"/>
    <x v="129"/>
    <n v="72.864000000000004"/>
  </r>
  <r>
    <n v="1377"/>
    <x v="138"/>
    <n v="29"/>
    <x v="4"/>
    <s v="789 29th Street"/>
    <x v="3"/>
    <s v="CO"/>
    <n v="99999"/>
    <s v="USA"/>
    <x v="3"/>
    <x v="0"/>
    <n v="42004"/>
    <s v="Shipping Company B"/>
    <s v="Soo Jung Lee"/>
    <s v="789 29th Street"/>
    <x v="3"/>
    <s v="CO"/>
    <n v="99999"/>
    <s v="USA"/>
    <s v="Check"/>
    <x v="7"/>
    <x v="3"/>
    <n v="12.75"/>
    <n v="47"/>
    <x v="13"/>
    <n v="59.325750000000006"/>
  </r>
  <r>
    <n v="1378"/>
    <x v="139"/>
    <n v="3"/>
    <x v="5"/>
    <s v="123 3rd Street"/>
    <x v="4"/>
    <s v="CA"/>
    <n v="99999"/>
    <s v="USA"/>
    <x v="0"/>
    <x v="0"/>
    <n v="41978"/>
    <s v="Shipping Company B"/>
    <s v="Thomas Axerr"/>
    <s v="123 3rd Street"/>
    <x v="4"/>
    <s v="CA"/>
    <n v="99999"/>
    <s v="USA"/>
    <s v="Cash"/>
    <x v="8"/>
    <x v="4"/>
    <n v="9.65"/>
    <n v="96"/>
    <x v="280"/>
    <n v="94.492800000000017"/>
  </r>
  <r>
    <n v="1379"/>
    <x v="140"/>
    <n v="6"/>
    <x v="6"/>
    <s v="123 6th Street"/>
    <x v="5"/>
    <s v="WI"/>
    <n v="99999"/>
    <s v="USA"/>
    <x v="4"/>
    <x v="2"/>
    <n v="41981"/>
    <s v="Shipping Company B"/>
    <s v="Francisco Pérez-Olaeta"/>
    <s v="123 6th Street"/>
    <x v="5"/>
    <s v="WI"/>
    <n v="99999"/>
    <s v="USA"/>
    <s v="Credit Card"/>
    <x v="9"/>
    <x v="5"/>
    <n v="40"/>
    <n v="32"/>
    <x v="11"/>
    <n v="134.4"/>
  </r>
  <r>
    <n v="1380"/>
    <x v="141"/>
    <n v="28"/>
    <x v="7"/>
    <s v="789 28th Street"/>
    <x v="6"/>
    <s v="TN"/>
    <n v="99999"/>
    <s v="USA"/>
    <x v="5"/>
    <x v="3"/>
    <d v="2014-12-30T00:00:00"/>
    <s v="Shipping Company C"/>
    <s v="Amritansh Raghav"/>
    <s v="789 28th Street"/>
    <x v="6"/>
    <s v="TN"/>
    <n v="99999"/>
    <s v="USA"/>
    <s v="Check"/>
    <x v="5"/>
    <x v="0"/>
    <n v="46"/>
    <n v="16"/>
    <x v="129"/>
    <n v="73.600000000000009"/>
  </r>
  <r>
    <n v="1381"/>
    <x v="137"/>
    <n v="8"/>
    <x v="3"/>
    <s v="123 8th Street"/>
    <x v="2"/>
    <s v="OR"/>
    <n v="99999"/>
    <s v="USA"/>
    <x v="2"/>
    <x v="2"/>
    <d v="2014-12-10T00:00:00"/>
    <s v="Shipping Company C"/>
    <s v="Elizabeth Andersen"/>
    <s v="123 8th Street"/>
    <x v="2"/>
    <s v="OR"/>
    <n v="99999"/>
    <s v="USA"/>
    <s v="Check"/>
    <x v="7"/>
    <x v="3"/>
    <n v="12.75"/>
    <n v="41"/>
    <x v="87"/>
    <n v="51.229500000000002"/>
  </r>
  <r>
    <n v="1382"/>
    <x v="142"/>
    <n v="10"/>
    <x v="8"/>
    <s v="123 10th Street"/>
    <x v="7"/>
    <s v="IL"/>
    <n v="99999"/>
    <s v="USA"/>
    <x v="6"/>
    <x v="1"/>
    <d v="2014-12-12T00:00:00"/>
    <s v="Shipping Company B"/>
    <s v="Roland Wacker"/>
    <s v="123 10th Street"/>
    <x v="7"/>
    <s v="IL"/>
    <n v="99999"/>
    <s v="USA"/>
    <s v="Credit Card"/>
    <x v="10"/>
    <x v="0"/>
    <n v="2.99"/>
    <n v="41"/>
    <x v="281"/>
    <n v="12.871950000000002"/>
  </r>
  <r>
    <n v="1383"/>
    <x v="143"/>
    <n v="7"/>
    <x v="9"/>
    <s v="123 7th Street"/>
    <x v="8"/>
    <s v="ID"/>
    <n v="99999"/>
    <s v="USA"/>
    <x v="2"/>
    <x v="2"/>
    <m/>
    <m/>
    <s v="Ming-Yang Xie"/>
    <s v="123 7th Street"/>
    <x v="8"/>
    <s v="ID"/>
    <n v="99999"/>
    <s v="USA"/>
    <m/>
    <x v="5"/>
    <x v="0"/>
    <n v="46"/>
    <n v="41"/>
    <x v="282"/>
    <n v="194.25800000000004"/>
  </r>
  <r>
    <n v="1384"/>
    <x v="142"/>
    <n v="10"/>
    <x v="8"/>
    <s v="123 10th Street"/>
    <x v="7"/>
    <s v="IL"/>
    <n v="99999"/>
    <s v="USA"/>
    <x v="6"/>
    <x v="1"/>
    <d v="2014-12-12T00:00:00"/>
    <s v="Shipping Company A"/>
    <s v="Roland Wacker"/>
    <s v="123 10th Street"/>
    <x v="7"/>
    <s v="IL"/>
    <n v="99999"/>
    <s v="USA"/>
    <m/>
    <x v="11"/>
    <x v="6"/>
    <n v="25"/>
    <n v="94"/>
    <x v="283"/>
    <n v="235"/>
  </r>
  <r>
    <n v="1385"/>
    <x v="142"/>
    <n v="10"/>
    <x v="8"/>
    <s v="123 10th Street"/>
    <x v="7"/>
    <s v="IL"/>
    <n v="99999"/>
    <s v="USA"/>
    <x v="6"/>
    <x v="1"/>
    <d v="2014-12-12T00:00:00"/>
    <s v="Shipping Company A"/>
    <s v="Roland Wacker"/>
    <s v="123 10th Street"/>
    <x v="7"/>
    <s v="IL"/>
    <n v="99999"/>
    <s v="USA"/>
    <m/>
    <x v="12"/>
    <x v="7"/>
    <n v="22"/>
    <n v="20"/>
    <x v="284"/>
    <n v="46.2"/>
  </r>
  <r>
    <n v="1386"/>
    <x v="142"/>
    <n v="10"/>
    <x v="8"/>
    <s v="123 10th Street"/>
    <x v="7"/>
    <s v="IL"/>
    <n v="99999"/>
    <s v="USA"/>
    <x v="6"/>
    <x v="1"/>
    <n v="41985"/>
    <s v="Shipping Company A"/>
    <s v="Roland Wacker"/>
    <s v="123 10th Street"/>
    <x v="7"/>
    <s v="IL"/>
    <n v="99999"/>
    <s v="USA"/>
    <m/>
    <x v="6"/>
    <x v="2"/>
    <n v="9.1999999999999993"/>
    <n v="13"/>
    <x v="285"/>
    <n v="12.438400000000001"/>
  </r>
  <r>
    <n v="1387"/>
    <x v="144"/>
    <n v="11"/>
    <x v="10"/>
    <s v="123 11th Street"/>
    <x v="9"/>
    <s v="FL"/>
    <n v="99999"/>
    <s v="USA"/>
    <x v="5"/>
    <x v="3"/>
    <m/>
    <s v="Shipping Company C"/>
    <s v="Peter Krschne"/>
    <s v="123 11th Street"/>
    <x v="9"/>
    <s v="FL"/>
    <n v="99999"/>
    <s v="USA"/>
    <m/>
    <x v="1"/>
    <x v="1"/>
    <n v="3.5"/>
    <n v="74"/>
    <x v="58"/>
    <n v="26.936000000000003"/>
  </r>
  <r>
    <n v="1388"/>
    <x v="144"/>
    <n v="11"/>
    <x v="10"/>
    <s v="123 11th Street"/>
    <x v="9"/>
    <s v="FL"/>
    <n v="99999"/>
    <s v="USA"/>
    <x v="5"/>
    <x v="3"/>
    <m/>
    <s v="Shipping Company C"/>
    <s v="Peter Krschne"/>
    <s v="123 11th Street"/>
    <x v="9"/>
    <s v="FL"/>
    <n v="99999"/>
    <s v="USA"/>
    <m/>
    <x v="10"/>
    <x v="0"/>
    <n v="2.99"/>
    <n v="53"/>
    <x v="286"/>
    <n v="16.005470000000003"/>
  </r>
  <r>
    <n v="1389"/>
    <x v="145"/>
    <n v="1"/>
    <x v="11"/>
    <s v="123 1st Street"/>
    <x v="10"/>
    <s v="WA"/>
    <n v="99999"/>
    <s v="USA"/>
    <x v="2"/>
    <x v="2"/>
    <m/>
    <m/>
    <s v="Anna Bedecs"/>
    <s v="123 1st Street"/>
    <x v="10"/>
    <s v="WA"/>
    <n v="99999"/>
    <s v="USA"/>
    <m/>
    <x v="4"/>
    <x v="0"/>
    <n v="18"/>
    <n v="99"/>
    <x v="287"/>
    <n v="174.63600000000002"/>
  </r>
  <r>
    <n v="1390"/>
    <x v="145"/>
    <n v="1"/>
    <x v="11"/>
    <s v="123 1st Street"/>
    <x v="10"/>
    <s v="WA"/>
    <n v="99999"/>
    <s v="USA"/>
    <x v="2"/>
    <x v="2"/>
    <m/>
    <m/>
    <s v="Anna Bedecs"/>
    <s v="123 1st Street"/>
    <x v="10"/>
    <s v="WA"/>
    <n v="99999"/>
    <s v="USA"/>
    <m/>
    <x v="5"/>
    <x v="0"/>
    <n v="46"/>
    <n v="89"/>
    <x v="288"/>
    <n v="388.93"/>
  </r>
  <r>
    <n v="1391"/>
    <x v="145"/>
    <n v="1"/>
    <x v="11"/>
    <s v="123 1st Street"/>
    <x v="10"/>
    <s v="WA"/>
    <n v="99999"/>
    <s v="USA"/>
    <x v="2"/>
    <x v="2"/>
    <m/>
    <m/>
    <s v="Anna Bedecs"/>
    <s v="123 1st Street"/>
    <x v="10"/>
    <s v="WA"/>
    <n v="99999"/>
    <s v="USA"/>
    <m/>
    <x v="10"/>
    <x v="0"/>
    <n v="2.99"/>
    <n v="64"/>
    <x v="200"/>
    <n v="19.518720000000002"/>
  </r>
  <r>
    <n v="1392"/>
    <x v="141"/>
    <n v="28"/>
    <x v="7"/>
    <s v="789 28th Street"/>
    <x v="6"/>
    <s v="TN"/>
    <n v="99999"/>
    <s v="USA"/>
    <x v="5"/>
    <x v="3"/>
    <d v="2014-12-30T00:00:00"/>
    <s v="Shipping Company C"/>
    <s v="Amritansh Raghav"/>
    <s v="789 28th Street"/>
    <x v="6"/>
    <s v="TN"/>
    <n v="99999"/>
    <s v="USA"/>
    <s v="Credit Card"/>
    <x v="8"/>
    <x v="4"/>
    <n v="9.65"/>
    <n v="98"/>
    <x v="289"/>
    <n v="96.461400000000012"/>
  </r>
  <r>
    <n v="1393"/>
    <x v="141"/>
    <n v="28"/>
    <x v="7"/>
    <s v="789 28th Street"/>
    <x v="6"/>
    <s v="TN"/>
    <n v="99999"/>
    <s v="USA"/>
    <x v="5"/>
    <x v="3"/>
    <d v="2014-12-30T00:00:00"/>
    <s v="Shipping Company C"/>
    <s v="Amritansh Raghav"/>
    <s v="789 28th Street"/>
    <x v="6"/>
    <s v="TN"/>
    <n v="99999"/>
    <s v="USA"/>
    <s v="Credit Card"/>
    <x v="13"/>
    <x v="8"/>
    <n v="18.399999999999999"/>
    <n v="86"/>
    <x v="290"/>
    <n v="155.0752"/>
  </r>
  <r>
    <n v="1394"/>
    <x v="146"/>
    <n v="9"/>
    <x v="12"/>
    <s v="123 9th Street"/>
    <x v="11"/>
    <s v="UT"/>
    <n v="99999"/>
    <s v="USA"/>
    <x v="7"/>
    <x v="0"/>
    <d v="2014-12-11T00:00:00"/>
    <s v="Shipping Company A"/>
    <s v="Sven Mortensen"/>
    <s v="123 9th Street"/>
    <x v="11"/>
    <s v="UT"/>
    <n v="99999"/>
    <s v="USA"/>
    <s v="Check"/>
    <x v="14"/>
    <x v="9"/>
    <n v="19.5"/>
    <n v="20"/>
    <x v="291"/>
    <n v="40.950000000000003"/>
  </r>
  <r>
    <n v="1395"/>
    <x v="146"/>
    <n v="9"/>
    <x v="12"/>
    <s v="123 9th Street"/>
    <x v="11"/>
    <s v="UT"/>
    <n v="99999"/>
    <s v="USA"/>
    <x v="7"/>
    <x v="0"/>
    <d v="2014-12-11T00:00:00"/>
    <s v="Shipping Company A"/>
    <s v="Sven Mortensen"/>
    <s v="123 9th Street"/>
    <x v="11"/>
    <s v="UT"/>
    <n v="99999"/>
    <s v="USA"/>
    <s v="Check"/>
    <x v="15"/>
    <x v="10"/>
    <n v="34.799999999999997"/>
    <n v="69"/>
    <x v="292"/>
    <n v="240.12"/>
  </r>
  <r>
    <n v="1396"/>
    <x v="140"/>
    <n v="6"/>
    <x v="6"/>
    <s v="123 6th Street"/>
    <x v="5"/>
    <s v="WI"/>
    <n v="99999"/>
    <s v="USA"/>
    <x v="4"/>
    <x v="2"/>
    <d v="2014-12-08T00:00:00"/>
    <s v="Shipping Company B"/>
    <s v="Francisco Pérez-Olaeta"/>
    <s v="123 6th Street"/>
    <x v="5"/>
    <s v="WI"/>
    <n v="99999"/>
    <s v="USA"/>
    <s v="Credit Card"/>
    <x v="0"/>
    <x v="0"/>
    <n v="14"/>
    <n v="68"/>
    <x v="293"/>
    <n v="91.391999999999996"/>
  </r>
  <r>
    <n v="1397"/>
    <x v="137"/>
    <n v="8"/>
    <x v="3"/>
    <s v="123 8th Street"/>
    <x v="2"/>
    <s v="OR"/>
    <n v="99999"/>
    <s v="USA"/>
    <x v="2"/>
    <x v="2"/>
    <d v="2014-12-10T00:00:00"/>
    <s v="Shipping Company B"/>
    <s v="Elizabeth Andersen"/>
    <s v="123 8th Street"/>
    <x v="2"/>
    <s v="OR"/>
    <n v="99999"/>
    <s v="USA"/>
    <s v="Check"/>
    <x v="9"/>
    <x v="5"/>
    <n v="40"/>
    <n v="52"/>
    <x v="294"/>
    <n v="203.84"/>
  </r>
  <r>
    <n v="1398"/>
    <x v="137"/>
    <n v="8"/>
    <x v="3"/>
    <s v="123 8th Street"/>
    <x v="2"/>
    <s v="OR"/>
    <n v="99999"/>
    <s v="USA"/>
    <x v="2"/>
    <x v="2"/>
    <d v="2014-12-10T00:00:00"/>
    <s v="Shipping Company B"/>
    <s v="Elizabeth Andersen"/>
    <s v="123 8th Street"/>
    <x v="2"/>
    <s v="OR"/>
    <n v="99999"/>
    <s v="USA"/>
    <s v="Check"/>
    <x v="6"/>
    <x v="2"/>
    <n v="9.1999999999999993"/>
    <n v="40"/>
    <x v="295"/>
    <n v="38.640000000000008"/>
  </r>
  <r>
    <n v="1399"/>
    <x v="147"/>
    <n v="25"/>
    <x v="13"/>
    <s v="789 25th Street"/>
    <x v="7"/>
    <s v="IL"/>
    <n v="99999"/>
    <s v="USA"/>
    <x v="6"/>
    <x v="1"/>
    <d v="2014-12-27T00:00:00"/>
    <s v="Shipping Company A"/>
    <s v="John Rodman"/>
    <s v="789 25th Street"/>
    <x v="7"/>
    <s v="IL"/>
    <n v="99999"/>
    <s v="USA"/>
    <s v="Cash"/>
    <x v="21"/>
    <x v="2"/>
    <n v="10"/>
    <n v="100"/>
    <x v="116"/>
    <n v="98"/>
  </r>
  <r>
    <n v="1400"/>
    <x v="148"/>
    <n v="26"/>
    <x v="14"/>
    <s v="789 26th Street"/>
    <x v="9"/>
    <s v="FL"/>
    <n v="99999"/>
    <s v="USA"/>
    <x v="5"/>
    <x v="3"/>
    <d v="2014-12-28T00:00:00"/>
    <s v="Shipping Company C"/>
    <s v="Run Liu"/>
    <s v="789 26th Street"/>
    <x v="9"/>
    <s v="FL"/>
    <n v="99999"/>
    <s v="USA"/>
    <s v="Credit Card"/>
    <x v="22"/>
    <x v="13"/>
    <n v="21.35"/>
    <n v="88"/>
    <x v="296"/>
    <n v="184.12240000000003"/>
  </r>
  <r>
    <n v="1401"/>
    <x v="148"/>
    <n v="26"/>
    <x v="14"/>
    <s v="789 26th Street"/>
    <x v="9"/>
    <s v="FL"/>
    <n v="99999"/>
    <s v="USA"/>
    <x v="5"/>
    <x v="3"/>
    <d v="2014-12-28T00:00:00"/>
    <s v="Shipping Company C"/>
    <s v="Run Liu"/>
    <s v="789 26th Street"/>
    <x v="9"/>
    <s v="FL"/>
    <n v="99999"/>
    <s v="USA"/>
    <s v="Credit Card"/>
    <x v="8"/>
    <x v="4"/>
    <n v="9.65"/>
    <n v="46"/>
    <x v="256"/>
    <n v="42.614400000000003"/>
  </r>
  <r>
    <n v="1402"/>
    <x v="148"/>
    <n v="26"/>
    <x v="14"/>
    <s v="789 26th Street"/>
    <x v="9"/>
    <s v="FL"/>
    <n v="99999"/>
    <s v="USA"/>
    <x v="5"/>
    <x v="3"/>
    <d v="2014-12-28T00:00:00"/>
    <s v="Shipping Company C"/>
    <s v="Run Liu"/>
    <s v="789 26th Street"/>
    <x v="9"/>
    <s v="FL"/>
    <n v="99999"/>
    <s v="USA"/>
    <s v="Credit Card"/>
    <x v="13"/>
    <x v="8"/>
    <n v="18.399999999999999"/>
    <n v="93"/>
    <x v="297"/>
    <n v="167.69759999999999"/>
  </r>
  <r>
    <n v="1403"/>
    <x v="138"/>
    <n v="29"/>
    <x v="4"/>
    <s v="789 29th Street"/>
    <x v="3"/>
    <s v="CO"/>
    <n v="99999"/>
    <s v="USA"/>
    <x v="3"/>
    <x v="0"/>
    <d v="2014-12-31T00:00:00"/>
    <s v="Shipping Company B"/>
    <s v="Soo Jung Lee"/>
    <s v="789 29th Street"/>
    <x v="3"/>
    <s v="CO"/>
    <n v="99999"/>
    <s v="USA"/>
    <s v="Check"/>
    <x v="0"/>
    <x v="0"/>
    <n v="14"/>
    <n v="96"/>
    <x v="298"/>
    <n v="141.12"/>
  </r>
  <r>
    <n v="1404"/>
    <x v="140"/>
    <n v="6"/>
    <x v="6"/>
    <s v="123 6th Street"/>
    <x v="5"/>
    <s v="WI"/>
    <n v="99999"/>
    <s v="USA"/>
    <x v="4"/>
    <x v="2"/>
    <d v="2014-12-08T00:00:00"/>
    <s v="Shipping Company C"/>
    <s v="Francisco Pérez-Olaeta"/>
    <s v="123 6th Street"/>
    <x v="5"/>
    <s v="WI"/>
    <n v="99999"/>
    <s v="USA"/>
    <s v="Check"/>
    <x v="7"/>
    <x v="3"/>
    <n v="12.75"/>
    <n v="12"/>
    <x v="299"/>
    <n v="16.065000000000001"/>
  </r>
  <r>
    <n v="1406"/>
    <x v="135"/>
    <n v="4"/>
    <x v="1"/>
    <s v="123 4th Street"/>
    <x v="1"/>
    <s v="NY"/>
    <n v="99999"/>
    <s v="USA"/>
    <x v="1"/>
    <x v="1"/>
    <d v="2014-12-06T00:00:00"/>
    <s v="Shipping Company A"/>
    <s v="Christina Lee"/>
    <s v="123 4th Street"/>
    <x v="1"/>
    <s v="NY"/>
    <n v="99999"/>
    <s v="USA"/>
    <s v="Credit Card"/>
    <x v="23"/>
    <x v="6"/>
    <n v="81"/>
    <n v="38"/>
    <x v="300"/>
    <n v="292.41000000000003"/>
  </r>
  <r>
    <n v="1407"/>
    <x v="135"/>
    <n v="4"/>
    <x v="1"/>
    <s v="123 4th Street"/>
    <x v="1"/>
    <s v="NY"/>
    <n v="99999"/>
    <s v="USA"/>
    <x v="1"/>
    <x v="1"/>
    <d v="2014-12-06T00:00:00"/>
    <s v="Shipping Company A"/>
    <s v="Christina Lee"/>
    <s v="123 4th Street"/>
    <x v="1"/>
    <s v="NY"/>
    <n v="99999"/>
    <s v="USA"/>
    <s v="Credit Card"/>
    <x v="24"/>
    <x v="14"/>
    <n v="7"/>
    <n v="42"/>
    <x v="108"/>
    <n v="29.106000000000002"/>
  </r>
  <r>
    <n v="1409"/>
    <x v="137"/>
    <n v="8"/>
    <x v="3"/>
    <s v="123 8th Street"/>
    <x v="2"/>
    <s v="OR"/>
    <n v="99999"/>
    <s v="USA"/>
    <x v="2"/>
    <x v="2"/>
    <d v="2014-12-10T00:00:00"/>
    <s v="Shipping Company C"/>
    <s v="Elizabeth Andersen"/>
    <s v="123 8th Street"/>
    <x v="2"/>
    <s v="OR"/>
    <n v="99999"/>
    <s v="USA"/>
    <s v="Credit Card"/>
    <x v="15"/>
    <x v="10"/>
    <n v="34.799999999999997"/>
    <n v="100"/>
    <x v="301"/>
    <n v="344.52"/>
  </r>
  <r>
    <n v="1412"/>
    <x v="139"/>
    <n v="3"/>
    <x v="5"/>
    <s v="123 3rd Street"/>
    <x v="4"/>
    <s v="CA"/>
    <n v="99999"/>
    <s v="USA"/>
    <x v="0"/>
    <x v="0"/>
    <d v="2014-12-05T00:00:00"/>
    <s v="Shipping Company B"/>
    <s v="Thomas Axerr"/>
    <s v="123 3rd Street"/>
    <x v="4"/>
    <s v="CA"/>
    <n v="99999"/>
    <s v="USA"/>
    <s v="Cash"/>
    <x v="16"/>
    <x v="7"/>
    <n v="10"/>
    <n v="89"/>
    <x v="302"/>
    <n v="87.22"/>
  </r>
  <r>
    <n v="1413"/>
    <x v="139"/>
    <n v="3"/>
    <x v="5"/>
    <s v="123 3rd Street"/>
    <x v="4"/>
    <s v="CA"/>
    <n v="99999"/>
    <s v="USA"/>
    <x v="0"/>
    <x v="0"/>
    <d v="2014-12-05T00:00:00"/>
    <s v="Shipping Company B"/>
    <s v="Thomas Axerr"/>
    <s v="123 3rd Street"/>
    <x v="4"/>
    <s v="CA"/>
    <n v="99999"/>
    <s v="USA"/>
    <s v="Cash"/>
    <x v="9"/>
    <x v="5"/>
    <n v="40"/>
    <n v="12"/>
    <x v="60"/>
    <n v="46.56"/>
  </r>
  <r>
    <n v="1417"/>
    <x v="142"/>
    <n v="10"/>
    <x v="8"/>
    <s v="123 10th Street"/>
    <x v="7"/>
    <s v="IL"/>
    <n v="99999"/>
    <s v="USA"/>
    <x v="6"/>
    <x v="1"/>
    <d v="2014-12-12T00:00:00"/>
    <s v="Shipping Company B"/>
    <s v="Roland Wacker"/>
    <s v="123 10th Street"/>
    <x v="7"/>
    <s v="IL"/>
    <n v="99999"/>
    <s v="USA"/>
    <s v="Credit Card"/>
    <x v="18"/>
    <x v="1"/>
    <n v="10"/>
    <n v="97"/>
    <x v="303"/>
    <n v="100.88000000000001"/>
  </r>
  <r>
    <n v="1419"/>
    <x v="142"/>
    <n v="10"/>
    <x v="8"/>
    <s v="123 10th Street"/>
    <x v="7"/>
    <s v="IL"/>
    <n v="99999"/>
    <s v="USA"/>
    <x v="6"/>
    <x v="1"/>
    <m/>
    <s v="Shipping Company A"/>
    <s v="Roland Wacker"/>
    <s v="123 10th Street"/>
    <x v="7"/>
    <s v="IL"/>
    <n v="99999"/>
    <s v="USA"/>
    <m/>
    <x v="1"/>
    <x v="1"/>
    <n v="3.5"/>
    <n v="53"/>
    <x v="304"/>
    <n v="17.622499999999999"/>
  </r>
  <r>
    <n v="1420"/>
    <x v="144"/>
    <n v="11"/>
    <x v="10"/>
    <s v="123 11th Street"/>
    <x v="9"/>
    <s v="FL"/>
    <n v="99999"/>
    <s v="USA"/>
    <x v="5"/>
    <x v="3"/>
    <m/>
    <s v="Shipping Company C"/>
    <s v="Peter Krschne"/>
    <s v="123 11th Street"/>
    <x v="9"/>
    <s v="FL"/>
    <n v="99999"/>
    <s v="USA"/>
    <m/>
    <x v="9"/>
    <x v="5"/>
    <n v="40"/>
    <n v="61"/>
    <x v="305"/>
    <n v="248.88"/>
  </r>
  <r>
    <n v="1421"/>
    <x v="145"/>
    <n v="1"/>
    <x v="11"/>
    <s v="123 1st Street"/>
    <x v="10"/>
    <s v="WA"/>
    <n v="99999"/>
    <s v="USA"/>
    <x v="2"/>
    <x v="2"/>
    <m/>
    <s v="Shipping Company C"/>
    <s v="Anna Bedecs"/>
    <s v="123 1st Street"/>
    <x v="10"/>
    <s v="WA"/>
    <n v="99999"/>
    <s v="USA"/>
    <m/>
    <x v="13"/>
    <x v="8"/>
    <n v="18.399999999999999"/>
    <n v="45"/>
    <x v="306"/>
    <n v="81.143999999999991"/>
  </r>
  <r>
    <n v="1422"/>
    <x v="141"/>
    <n v="28"/>
    <x v="7"/>
    <s v="789 28th Street"/>
    <x v="6"/>
    <s v="TN"/>
    <n v="99999"/>
    <s v="USA"/>
    <x v="5"/>
    <x v="3"/>
    <d v="2014-12-30T00:00:00"/>
    <s v="Shipping Company C"/>
    <s v="Amritansh Raghav"/>
    <s v="789 28th Street"/>
    <x v="6"/>
    <s v="TN"/>
    <n v="99999"/>
    <s v="USA"/>
    <s v="Credit Card"/>
    <x v="5"/>
    <x v="0"/>
    <n v="46"/>
    <n v="43"/>
    <x v="307"/>
    <n v="197.8"/>
  </r>
  <r>
    <n v="1423"/>
    <x v="146"/>
    <n v="9"/>
    <x v="12"/>
    <s v="123 9th Street"/>
    <x v="11"/>
    <s v="UT"/>
    <n v="99999"/>
    <s v="USA"/>
    <x v="7"/>
    <x v="0"/>
    <d v="2014-12-11T00:00:00"/>
    <s v="Shipping Company A"/>
    <s v="Sven Mortensen"/>
    <s v="123 9th Street"/>
    <x v="11"/>
    <s v="UT"/>
    <n v="99999"/>
    <s v="USA"/>
    <s v="Check"/>
    <x v="8"/>
    <x v="4"/>
    <n v="9.65"/>
    <n v="18"/>
    <x v="308"/>
    <n v="16.5015"/>
  </r>
  <r>
    <n v="1424"/>
    <x v="140"/>
    <n v="6"/>
    <x v="6"/>
    <s v="123 6th Street"/>
    <x v="5"/>
    <s v="WI"/>
    <n v="99999"/>
    <s v="USA"/>
    <x v="4"/>
    <x v="2"/>
    <d v="2014-12-08T00:00:00"/>
    <s v="Shipping Company B"/>
    <s v="Francisco Pérez-Olaeta"/>
    <s v="123 6th Street"/>
    <x v="5"/>
    <s v="WI"/>
    <n v="99999"/>
    <s v="USA"/>
    <s v="Credit Card"/>
    <x v="7"/>
    <x v="3"/>
    <n v="12.75"/>
    <n v="41"/>
    <x v="87"/>
    <n v="50.706750000000007"/>
  </r>
  <r>
    <n v="1425"/>
    <x v="137"/>
    <n v="8"/>
    <x v="3"/>
    <s v="123 8th Street"/>
    <x v="2"/>
    <s v="OR"/>
    <n v="99999"/>
    <s v="USA"/>
    <x v="2"/>
    <x v="2"/>
    <n v="41983"/>
    <s v="Shipping Company B"/>
    <s v="Elizabeth Andersen"/>
    <s v="123 8th Street"/>
    <x v="2"/>
    <s v="OR"/>
    <n v="99999"/>
    <s v="USA"/>
    <s v="Check"/>
    <x v="7"/>
    <x v="3"/>
    <n v="12.75"/>
    <n v="19"/>
    <x v="109"/>
    <n v="23.982750000000003"/>
  </r>
  <r>
    <n v="1426"/>
    <x v="147"/>
    <n v="25"/>
    <x v="13"/>
    <s v="789 25th Street"/>
    <x v="7"/>
    <s v="IL"/>
    <n v="99999"/>
    <s v="USA"/>
    <x v="6"/>
    <x v="1"/>
    <n v="42000"/>
    <s v="Shipping Company A"/>
    <s v="John Rodman"/>
    <s v="789 25th Street"/>
    <x v="7"/>
    <s v="IL"/>
    <n v="99999"/>
    <s v="USA"/>
    <s v="Cash"/>
    <x v="12"/>
    <x v="7"/>
    <n v="22"/>
    <n v="65"/>
    <x v="309"/>
    <n v="138.71"/>
  </r>
  <r>
    <n v="1427"/>
    <x v="148"/>
    <n v="26"/>
    <x v="14"/>
    <s v="789 26th Street"/>
    <x v="9"/>
    <s v="FL"/>
    <n v="99999"/>
    <s v="USA"/>
    <x v="5"/>
    <x v="3"/>
    <n v="42001"/>
    <s v="Shipping Company C"/>
    <s v="Run Liu"/>
    <s v="789 26th Street"/>
    <x v="9"/>
    <s v="FL"/>
    <n v="99999"/>
    <s v="USA"/>
    <s v="Credit Card"/>
    <x v="11"/>
    <x v="6"/>
    <n v="25"/>
    <n v="13"/>
    <x v="310"/>
    <n v="32.174999999999997"/>
  </r>
  <r>
    <n v="1428"/>
    <x v="138"/>
    <n v="29"/>
    <x v="4"/>
    <s v="789 29th Street"/>
    <x v="3"/>
    <s v="CO"/>
    <n v="99999"/>
    <s v="USA"/>
    <x v="3"/>
    <x v="0"/>
    <n v="42004"/>
    <s v="Shipping Company B"/>
    <s v="Soo Jung Lee"/>
    <s v="789 29th Street"/>
    <x v="3"/>
    <s v="CO"/>
    <n v="99999"/>
    <s v="USA"/>
    <s v="Check"/>
    <x v="19"/>
    <x v="12"/>
    <n v="39"/>
    <n v="54"/>
    <x v="311"/>
    <n v="214.81200000000004"/>
  </r>
  <r>
    <n v="1429"/>
    <x v="140"/>
    <n v="6"/>
    <x v="6"/>
    <s v="123 6th Street"/>
    <x v="5"/>
    <s v="WI"/>
    <n v="99999"/>
    <s v="USA"/>
    <x v="4"/>
    <x v="2"/>
    <d v="2014-12-08T00:00:00"/>
    <s v="Shipping Company C"/>
    <s v="Francisco Pérez-Olaeta"/>
    <s v="123 6th Street"/>
    <x v="5"/>
    <s v="WI"/>
    <n v="99999"/>
    <s v="USA"/>
    <s v="Check"/>
    <x v="2"/>
    <x v="1"/>
    <n v="30"/>
    <n v="33"/>
    <x v="82"/>
    <n v="95.039999999999992"/>
  </r>
  <r>
    <n v="1430"/>
    <x v="140"/>
    <n v="6"/>
    <x v="6"/>
    <s v="123 6th Street"/>
    <x v="5"/>
    <s v="WI"/>
    <n v="99999"/>
    <s v="USA"/>
    <x v="4"/>
    <x v="2"/>
    <d v="2014-12-08T00:00:00"/>
    <s v="Shipping Company C"/>
    <s v="Francisco Pérez-Olaeta"/>
    <s v="123 6th Street"/>
    <x v="5"/>
    <s v="WI"/>
    <n v="99999"/>
    <s v="USA"/>
    <s v="Check"/>
    <x v="3"/>
    <x v="1"/>
    <n v="53"/>
    <n v="34"/>
    <x v="312"/>
    <n v="185.60600000000002"/>
  </r>
  <r>
    <n v="1431"/>
    <x v="135"/>
    <n v="4"/>
    <x v="1"/>
    <s v="123 4th Street"/>
    <x v="1"/>
    <s v="NY"/>
    <n v="99999"/>
    <s v="USA"/>
    <x v="1"/>
    <x v="1"/>
    <m/>
    <m/>
    <s v="Christina Lee"/>
    <s v="123 4th Street"/>
    <x v="1"/>
    <s v="NY"/>
    <n v="99999"/>
    <s v="USA"/>
    <m/>
    <x v="20"/>
    <x v="9"/>
    <n v="38"/>
    <n v="59"/>
    <x v="313"/>
    <n v="226.44200000000001"/>
  </r>
  <r>
    <n v="1432"/>
    <x v="139"/>
    <n v="3"/>
    <x v="5"/>
    <s v="123 3rd Street"/>
    <x v="4"/>
    <s v="CA"/>
    <n v="99999"/>
    <s v="USA"/>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0BAC1C-4263-4CDC-B2CD-CBE399B1D9A3}" name="PivotTable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6">
  <location ref="A3:B9" firstHeaderRow="1" firstDataRow="1" firstDataCol="1"/>
  <pivotFields count="26">
    <pivotField showAll="0"/>
    <pivotField numFmtId="164" showAll="0"/>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axis="axisRow" showAll="0" measureFilter="1"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pivotField numFmtId="165" showAll="0"/>
  </pivotFields>
  <rowFields count="1">
    <field x="9"/>
  </rowFields>
  <rowItems count="6">
    <i>
      <x v="6"/>
    </i>
    <i>
      <x v="1"/>
    </i>
    <i>
      <x/>
    </i>
    <i>
      <x v="4"/>
    </i>
    <i>
      <x v="3"/>
    </i>
    <i t="grand">
      <x/>
    </i>
  </rowItems>
  <colItems count="1">
    <i/>
  </colItems>
  <dataFields count="1">
    <dataField name="Sum of Revenue" fld="24" baseField="0" baseItem="0"/>
  </dataFields>
  <chartFormats count="1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9" count="1" selected="0">
            <x v="6"/>
          </reference>
        </references>
      </pivotArea>
    </chartFormat>
    <chartFormat chart="13" format="2">
      <pivotArea type="data" outline="0" fieldPosition="0">
        <references count="2">
          <reference field="4294967294" count="1" selected="0">
            <x v="0"/>
          </reference>
          <reference field="9" count="1" selected="0">
            <x v="1"/>
          </reference>
        </references>
      </pivotArea>
    </chartFormat>
    <chartFormat chart="13" format="3">
      <pivotArea type="data" outline="0" fieldPosition="0">
        <references count="2">
          <reference field="4294967294" count="1" selected="0">
            <x v="0"/>
          </reference>
          <reference field="9" count="1" selected="0">
            <x v="0"/>
          </reference>
        </references>
      </pivotArea>
    </chartFormat>
    <chartFormat chart="13" format="4">
      <pivotArea type="data" outline="0" fieldPosition="0">
        <references count="2">
          <reference field="4294967294" count="1" selected="0">
            <x v="0"/>
          </reference>
          <reference field="9" count="1" selected="0">
            <x v="4"/>
          </reference>
        </references>
      </pivotArea>
    </chartFormat>
    <chartFormat chart="13" format="5">
      <pivotArea type="data" outline="0" fieldPosition="0">
        <references count="2">
          <reference field="4294967294" count="1" selected="0">
            <x v="0"/>
          </reference>
          <reference field="9" count="1" selected="0">
            <x v="3"/>
          </reference>
        </references>
      </pivotArea>
    </chartFormat>
    <chartFormat chart="13" format="6">
      <pivotArea type="data" outline="0" fieldPosition="0">
        <references count="2">
          <reference field="4294967294" count="1" selected="0">
            <x v="0"/>
          </reference>
          <reference field="9" count="1" selected="0">
            <x v="5"/>
          </reference>
        </references>
      </pivotArea>
    </chartFormat>
    <chartFormat chart="13" format="7">
      <pivotArea type="data" outline="0" fieldPosition="0">
        <references count="2">
          <reference field="4294967294" count="1" selected="0">
            <x v="0"/>
          </reference>
          <reference field="9" count="1" selected="0">
            <x v="7"/>
          </reference>
        </references>
      </pivotArea>
    </chartFormat>
    <chartFormat chart="13" format="8">
      <pivotArea type="data" outline="0" fieldPosition="0">
        <references count="2">
          <reference field="4294967294" count="1" selected="0">
            <x v="0"/>
          </reference>
          <reference field="9" count="1" selected="0">
            <x v="2"/>
          </reference>
        </references>
      </pivotArea>
    </chartFormat>
    <chartFormat chart="15" format="18" series="1">
      <pivotArea type="data" outline="0" fieldPosition="0">
        <references count="1">
          <reference field="4294967294" count="1" selected="0">
            <x v="0"/>
          </reference>
        </references>
      </pivotArea>
    </chartFormat>
    <chartFormat chart="15" format="19">
      <pivotArea type="data" outline="0" fieldPosition="0">
        <references count="2">
          <reference field="4294967294" count="1" selected="0">
            <x v="0"/>
          </reference>
          <reference field="9" count="1" selected="0">
            <x v="6"/>
          </reference>
        </references>
      </pivotArea>
    </chartFormat>
    <chartFormat chart="15" format="20">
      <pivotArea type="data" outline="0" fieldPosition="0">
        <references count="2">
          <reference field="4294967294" count="1" selected="0">
            <x v="0"/>
          </reference>
          <reference field="9" count="1" selected="0">
            <x v="1"/>
          </reference>
        </references>
      </pivotArea>
    </chartFormat>
    <chartFormat chart="15" format="21">
      <pivotArea type="data" outline="0" fieldPosition="0">
        <references count="2">
          <reference field="4294967294" count="1" selected="0">
            <x v="0"/>
          </reference>
          <reference field="9" count="1" selected="0">
            <x v="0"/>
          </reference>
        </references>
      </pivotArea>
    </chartFormat>
    <chartFormat chart="15" format="22">
      <pivotArea type="data" outline="0" fieldPosition="0">
        <references count="2">
          <reference field="4294967294" count="1" selected="0">
            <x v="0"/>
          </reference>
          <reference field="9" count="1" selected="0">
            <x v="4"/>
          </reference>
        </references>
      </pivotArea>
    </chartFormat>
    <chartFormat chart="15" format="23">
      <pivotArea type="data" outline="0" fieldPosition="0">
        <references count="2">
          <reference field="4294967294" count="1" selected="0">
            <x v="0"/>
          </reference>
          <reference field="9" count="1" selected="0">
            <x v="3"/>
          </reference>
        </references>
      </pivotArea>
    </chartFormat>
    <chartFormat chart="15" format="24">
      <pivotArea type="data" outline="0" fieldPosition="0">
        <references count="2">
          <reference field="4294967294" count="1" selected="0">
            <x v="0"/>
          </reference>
          <reference field="9" count="1" selected="0">
            <x v="5"/>
          </reference>
        </references>
      </pivotArea>
    </chartFormat>
    <chartFormat chart="15" format="25">
      <pivotArea type="data" outline="0" fieldPosition="0">
        <references count="2">
          <reference field="4294967294" count="1" selected="0">
            <x v="0"/>
          </reference>
          <reference field="9" count="1" selected="0">
            <x v="7"/>
          </reference>
        </references>
      </pivotArea>
    </chartFormat>
    <chartFormat chart="15" format="2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73AC83-510C-4292-93BA-3C56D4D02729}" name="PivotTable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8">
  <location ref="A3:B8" firstHeaderRow="1" firstDataRow="1" firstDataCol="1"/>
  <pivotFields count="26">
    <pivotField showAll="0"/>
    <pivotField numFmtId="164" showAll="0"/>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pivotField numFmtId="165" showAll="0"/>
  </pivotFields>
  <rowFields count="1">
    <field x="10"/>
  </rowFields>
  <rowItems count="5">
    <i>
      <x v="1"/>
    </i>
    <i>
      <x/>
    </i>
    <i>
      <x v="2"/>
    </i>
    <i>
      <x v="3"/>
    </i>
    <i t="grand">
      <x/>
    </i>
  </rowItems>
  <colItems count="1">
    <i/>
  </colItems>
  <dataFields count="1">
    <dataField name="Sum of Revenue" fld="24" baseField="0" baseItem="0"/>
  </dataFields>
  <formats count="6">
    <format dxfId="54">
      <pivotArea type="all" dataOnly="0" outline="0" fieldPosition="0"/>
    </format>
    <format dxfId="53">
      <pivotArea outline="0" collapsedLevelsAreSubtotals="1" fieldPosition="0"/>
    </format>
    <format dxfId="52">
      <pivotArea field="10" type="button" dataOnly="0" labelOnly="1" outline="0" axis="axisRow" fieldPosition="0"/>
    </format>
    <format dxfId="51">
      <pivotArea dataOnly="0" labelOnly="1" fieldPosition="0">
        <references count="1">
          <reference field="10" count="0"/>
        </references>
      </pivotArea>
    </format>
    <format dxfId="50">
      <pivotArea dataOnly="0" labelOnly="1" grandRow="1" outline="0" fieldPosition="0"/>
    </format>
    <format dxfId="49">
      <pivotArea dataOnly="0" labelOnly="1" outline="0" axis="axisValues" fieldPosition="0"/>
    </format>
  </formats>
  <chartFormats count="11">
    <chartFormat chart="13" format="0"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10" count="1" selected="0">
            <x v="1"/>
          </reference>
        </references>
      </pivotArea>
    </chartFormat>
    <chartFormat chart="14" format="19">
      <pivotArea type="data" outline="0" fieldPosition="0">
        <references count="2">
          <reference field="4294967294" count="1" selected="0">
            <x v="0"/>
          </reference>
          <reference field="10" count="1" selected="0">
            <x v="0"/>
          </reference>
        </references>
      </pivotArea>
    </chartFormat>
    <chartFormat chart="14" format="20">
      <pivotArea type="data" outline="0" fieldPosition="0">
        <references count="2">
          <reference field="4294967294" count="1" selected="0">
            <x v="0"/>
          </reference>
          <reference field="10" count="1" selected="0">
            <x v="2"/>
          </reference>
        </references>
      </pivotArea>
    </chartFormat>
    <chartFormat chart="14" format="21">
      <pivotArea type="data" outline="0" fieldPosition="0">
        <references count="2">
          <reference field="4294967294" count="1" selected="0">
            <x v="0"/>
          </reference>
          <reference field="10" count="1" selected="0">
            <x v="3"/>
          </reference>
        </references>
      </pivotArea>
    </chartFormat>
    <chartFormat chart="16" format="27" series="1">
      <pivotArea type="data" outline="0" fieldPosition="0">
        <references count="1">
          <reference field="4294967294" count="1" selected="0">
            <x v="0"/>
          </reference>
        </references>
      </pivotArea>
    </chartFormat>
    <chartFormat chart="16" format="28">
      <pivotArea type="data" outline="0" fieldPosition="0">
        <references count="2">
          <reference field="4294967294" count="1" selected="0">
            <x v="0"/>
          </reference>
          <reference field="10" count="1" selected="0">
            <x v="1"/>
          </reference>
        </references>
      </pivotArea>
    </chartFormat>
    <chartFormat chart="16" format="29">
      <pivotArea type="data" outline="0" fieldPosition="0">
        <references count="2">
          <reference field="4294967294" count="1" selected="0">
            <x v="0"/>
          </reference>
          <reference field="10" count="1" selected="0">
            <x v="0"/>
          </reference>
        </references>
      </pivotArea>
    </chartFormat>
    <chartFormat chart="16" format="30">
      <pivotArea type="data" outline="0" fieldPosition="0">
        <references count="2">
          <reference field="4294967294" count="1" selected="0">
            <x v="0"/>
          </reference>
          <reference field="10" count="1" selected="0">
            <x v="2"/>
          </reference>
        </references>
      </pivotArea>
    </chartFormat>
    <chartFormat chart="16" format="3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535ACD-E569-41EB-B053-306E4218D4B6}" name="PivotTable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0">
  <location ref="A3:B9" firstHeaderRow="1" firstDataRow="1" firstDataCol="1"/>
  <pivotFields count="26">
    <pivotField showAll="0"/>
    <pivotField numFmtId="164" showAll="0"/>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pivotField numFmtId="165" showAll="0"/>
  </pivotFields>
  <rowFields count="1">
    <field x="3"/>
  </rowFields>
  <rowItems count="6">
    <i>
      <x v="5"/>
    </i>
    <i>
      <x v="8"/>
    </i>
    <i>
      <x v="2"/>
    </i>
    <i>
      <x v="6"/>
    </i>
    <i>
      <x/>
    </i>
    <i t="grand">
      <x/>
    </i>
  </rowItems>
  <colItems count="1">
    <i/>
  </colItems>
  <dataFields count="1">
    <dataField name="Sum of Revenue" fld="24" baseField="0" baseItem="0"/>
  </dataFields>
  <formats count="6">
    <format dxfId="48">
      <pivotArea type="all" dataOnly="0" outline="0" fieldPosition="0"/>
    </format>
    <format dxfId="47">
      <pivotArea outline="0" collapsedLevelsAreSubtotals="1" fieldPosition="0"/>
    </format>
    <format dxfId="46">
      <pivotArea field="3" type="button" dataOnly="0" labelOnly="1" outline="0" axis="axisRow" fieldPosition="0"/>
    </format>
    <format dxfId="45">
      <pivotArea dataOnly="0" labelOnly="1" fieldPosition="0">
        <references count="1">
          <reference field="3" count="10">
            <x v="0"/>
            <x v="2"/>
            <x v="3"/>
            <x v="5"/>
            <x v="6"/>
            <x v="8"/>
            <x v="9"/>
            <x v="10"/>
            <x v="11"/>
            <x v="14"/>
          </reference>
        </references>
      </pivotArea>
    </format>
    <format dxfId="44">
      <pivotArea dataOnly="0" labelOnly="1" grandRow="1" outline="0" fieldPosition="0"/>
    </format>
    <format dxfId="43">
      <pivotArea dataOnly="0" labelOnly="1" outline="0" axis="axisValues" fieldPosition="0"/>
    </format>
  </formats>
  <chartFormats count="23">
    <chartFormat chart="13" format="0"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3" count="1" selected="0">
            <x v="5"/>
          </reference>
        </references>
      </pivotArea>
    </chartFormat>
    <chartFormat chart="14" format="19">
      <pivotArea type="data" outline="0" fieldPosition="0">
        <references count="2">
          <reference field="4294967294" count="1" selected="0">
            <x v="0"/>
          </reference>
          <reference field="3" count="1" selected="0">
            <x v="8"/>
          </reference>
        </references>
      </pivotArea>
    </chartFormat>
    <chartFormat chart="14" format="20">
      <pivotArea type="data" outline="0" fieldPosition="0">
        <references count="2">
          <reference field="4294967294" count="1" selected="0">
            <x v="0"/>
          </reference>
          <reference field="3" count="1" selected="0">
            <x v="2"/>
          </reference>
        </references>
      </pivotArea>
    </chartFormat>
    <chartFormat chart="14" format="21">
      <pivotArea type="data" outline="0" fieldPosition="0">
        <references count="2">
          <reference field="4294967294" count="1" selected="0">
            <x v="0"/>
          </reference>
          <reference field="3" count="1" selected="0">
            <x v="6"/>
          </reference>
        </references>
      </pivotArea>
    </chartFormat>
    <chartFormat chart="14" format="22">
      <pivotArea type="data" outline="0" fieldPosition="0">
        <references count="2">
          <reference field="4294967294" count="1" selected="0">
            <x v="0"/>
          </reference>
          <reference field="3" count="1" selected="0">
            <x v="0"/>
          </reference>
        </references>
      </pivotArea>
    </chartFormat>
    <chartFormat chart="14" format="23">
      <pivotArea type="data" outline="0" fieldPosition="0">
        <references count="2">
          <reference field="4294967294" count="1" selected="0">
            <x v="0"/>
          </reference>
          <reference field="3" count="1" selected="0">
            <x v="9"/>
          </reference>
        </references>
      </pivotArea>
    </chartFormat>
    <chartFormat chart="14" format="24">
      <pivotArea type="data" outline="0" fieldPosition="0">
        <references count="2">
          <reference field="4294967294" count="1" selected="0">
            <x v="0"/>
          </reference>
          <reference field="3" count="1" selected="0">
            <x v="10"/>
          </reference>
        </references>
      </pivotArea>
    </chartFormat>
    <chartFormat chart="14" format="25">
      <pivotArea type="data" outline="0" fieldPosition="0">
        <references count="2">
          <reference field="4294967294" count="1" selected="0">
            <x v="0"/>
          </reference>
          <reference field="3" count="1" selected="0">
            <x v="14"/>
          </reference>
        </references>
      </pivotArea>
    </chartFormat>
    <chartFormat chart="14" format="26">
      <pivotArea type="data" outline="0" fieldPosition="0">
        <references count="2">
          <reference field="4294967294" count="1" selected="0">
            <x v="0"/>
          </reference>
          <reference field="3" count="1" selected="0">
            <x v="11"/>
          </reference>
        </references>
      </pivotArea>
    </chartFormat>
    <chartFormat chart="14" format="27">
      <pivotArea type="data" outline="0" fieldPosition="0">
        <references count="2">
          <reference field="4294967294" count="1" selected="0">
            <x v="0"/>
          </reference>
          <reference field="3" count="1" selected="0">
            <x v="3"/>
          </reference>
        </references>
      </pivotArea>
    </chartFormat>
    <chartFormat chart="16" format="39" series="1">
      <pivotArea type="data" outline="0" fieldPosition="0">
        <references count="1">
          <reference field="4294967294" count="1" selected="0">
            <x v="0"/>
          </reference>
        </references>
      </pivotArea>
    </chartFormat>
    <chartFormat chart="16" format="40">
      <pivotArea type="data" outline="0" fieldPosition="0">
        <references count="2">
          <reference field="4294967294" count="1" selected="0">
            <x v="0"/>
          </reference>
          <reference field="3" count="1" selected="0">
            <x v="5"/>
          </reference>
        </references>
      </pivotArea>
    </chartFormat>
    <chartFormat chart="16" format="41">
      <pivotArea type="data" outline="0" fieldPosition="0">
        <references count="2">
          <reference field="4294967294" count="1" selected="0">
            <x v="0"/>
          </reference>
          <reference field="3" count="1" selected="0">
            <x v="8"/>
          </reference>
        </references>
      </pivotArea>
    </chartFormat>
    <chartFormat chart="16" format="42">
      <pivotArea type="data" outline="0" fieldPosition="0">
        <references count="2">
          <reference field="4294967294" count="1" selected="0">
            <x v="0"/>
          </reference>
          <reference field="3" count="1" selected="0">
            <x v="2"/>
          </reference>
        </references>
      </pivotArea>
    </chartFormat>
    <chartFormat chart="16" format="43">
      <pivotArea type="data" outline="0" fieldPosition="0">
        <references count="2">
          <reference field="4294967294" count="1" selected="0">
            <x v="0"/>
          </reference>
          <reference field="3" count="1" selected="0">
            <x v="6"/>
          </reference>
        </references>
      </pivotArea>
    </chartFormat>
    <chartFormat chart="16" format="44">
      <pivotArea type="data" outline="0" fieldPosition="0">
        <references count="2">
          <reference field="4294967294" count="1" selected="0">
            <x v="0"/>
          </reference>
          <reference field="3" count="1" selected="0">
            <x v="0"/>
          </reference>
        </references>
      </pivotArea>
    </chartFormat>
    <chartFormat chart="16" format="45">
      <pivotArea type="data" outline="0" fieldPosition="0">
        <references count="2">
          <reference field="4294967294" count="1" selected="0">
            <x v="0"/>
          </reference>
          <reference field="3" count="1" selected="0">
            <x v="9"/>
          </reference>
        </references>
      </pivotArea>
    </chartFormat>
    <chartFormat chart="16" format="46">
      <pivotArea type="data" outline="0" fieldPosition="0">
        <references count="2">
          <reference field="4294967294" count="1" selected="0">
            <x v="0"/>
          </reference>
          <reference field="3" count="1" selected="0">
            <x v="10"/>
          </reference>
        </references>
      </pivotArea>
    </chartFormat>
    <chartFormat chart="16" format="47">
      <pivotArea type="data" outline="0" fieldPosition="0">
        <references count="2">
          <reference field="4294967294" count="1" selected="0">
            <x v="0"/>
          </reference>
          <reference field="3" count="1" selected="0">
            <x v="14"/>
          </reference>
        </references>
      </pivotArea>
    </chartFormat>
    <chartFormat chart="16" format="48">
      <pivotArea type="data" outline="0" fieldPosition="0">
        <references count="2">
          <reference field="4294967294" count="1" selected="0">
            <x v="0"/>
          </reference>
          <reference field="3" count="1" selected="0">
            <x v="3"/>
          </reference>
        </references>
      </pivotArea>
    </chartFormat>
    <chartFormat chart="16" format="49">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79CF19-0609-4A16-9B73-A3E416E166E3}" name="PivotTable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8">
  <location ref="A3:B16" firstHeaderRow="1" firstDataRow="1" firstDataCol="1"/>
  <pivotFields count="26">
    <pivotField showAll="0"/>
    <pivotField axis="axisRow" numFmtId="164" showAll="0" sortType="ascending">
      <items count="15">
        <item x="1"/>
        <item x="2"/>
        <item x="3"/>
        <item x="4"/>
        <item x="5"/>
        <item x="6"/>
        <item x="7"/>
        <item x="8"/>
        <item x="9"/>
        <item x="10"/>
        <item x="11"/>
        <item x="12"/>
        <item x="0"/>
        <item x="13"/>
        <item t="default"/>
      </items>
    </pivotField>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pivotField numFmtId="165" showAll="0"/>
  </pivotFields>
  <rowFields count="1">
    <field x="1"/>
  </rowFields>
  <rowItems count="13">
    <i>
      <x/>
    </i>
    <i>
      <x v="1"/>
    </i>
    <i>
      <x v="2"/>
    </i>
    <i>
      <x v="3"/>
    </i>
    <i>
      <x v="4"/>
    </i>
    <i>
      <x v="5"/>
    </i>
    <i>
      <x v="6"/>
    </i>
    <i>
      <x v="7"/>
    </i>
    <i>
      <x v="8"/>
    </i>
    <i>
      <x v="9"/>
    </i>
    <i>
      <x v="10"/>
    </i>
    <i>
      <x v="11"/>
    </i>
    <i t="grand">
      <x/>
    </i>
  </rowItems>
  <colItems count="1">
    <i/>
  </colItems>
  <dataFields count="1">
    <dataField name="Sum of Revenue" fld="24" baseField="0" baseItem="0"/>
  </dataFields>
  <formats count="6">
    <format dxfId="42">
      <pivotArea type="all" dataOnly="0" outline="0" fieldPosition="0"/>
    </format>
    <format dxfId="41">
      <pivotArea outline="0" collapsedLevelsAreSubtotals="1" fieldPosition="0"/>
    </format>
    <format dxfId="40">
      <pivotArea field="1" type="button" dataOnly="0" labelOnly="1" outline="0" axis="axisRow" fieldPosition="0"/>
    </format>
    <format dxfId="39">
      <pivotArea dataOnly="0" labelOnly="1" fieldPosition="0">
        <references count="1">
          <reference field="1" count="12">
            <x v="0"/>
            <x v="1"/>
            <x v="2"/>
            <x v="3"/>
            <x v="4"/>
            <x v="5"/>
            <x v="6"/>
            <x v="7"/>
            <x v="8"/>
            <x v="9"/>
            <x v="10"/>
            <x v="11"/>
          </reference>
        </references>
      </pivotArea>
    </format>
    <format dxfId="38">
      <pivotArea dataOnly="0" labelOnly="1" grandRow="1" outline="0" fieldPosition="0"/>
    </format>
    <format dxfId="37">
      <pivotArea dataOnly="0" labelOnly="1" outline="0" axis="axisValues" fieldPosition="0"/>
    </format>
  </formats>
  <chartFormats count="28">
    <chartFormat chart="13" format="0"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5" format="28" series="1">
      <pivotArea type="data" outline="0" fieldPosition="0">
        <references count="1">
          <reference field="4294967294" count="1" selected="0">
            <x v="0"/>
          </reference>
        </references>
      </pivotArea>
    </chartFormat>
    <chartFormat chart="15" format="39">
      <pivotArea type="data" outline="0" fieldPosition="0">
        <references count="2">
          <reference field="4294967294" count="1" selected="0">
            <x v="0"/>
          </reference>
          <reference field="1" count="1" selected="0">
            <x v="0"/>
          </reference>
        </references>
      </pivotArea>
    </chartFormat>
    <chartFormat chart="15" format="40">
      <pivotArea type="data" outline="0" fieldPosition="0">
        <references count="2">
          <reference field="4294967294" count="1" selected="0">
            <x v="0"/>
          </reference>
          <reference field="1" count="1" selected="0">
            <x v="2"/>
          </reference>
        </references>
      </pivotArea>
    </chartFormat>
    <chartFormat chart="15" format="41">
      <pivotArea type="data" outline="0" fieldPosition="0">
        <references count="2">
          <reference field="4294967294" count="1" selected="0">
            <x v="0"/>
          </reference>
          <reference field="1" count="1" selected="0">
            <x v="4"/>
          </reference>
        </references>
      </pivotArea>
    </chartFormat>
    <chartFormat chart="15" format="42">
      <pivotArea type="data" outline="0" fieldPosition="0">
        <references count="2">
          <reference field="4294967294" count="1" selected="0">
            <x v="0"/>
          </reference>
          <reference field="1" count="1" selected="0">
            <x v="5"/>
          </reference>
        </references>
      </pivotArea>
    </chartFormat>
    <chartFormat chart="15" format="43">
      <pivotArea type="data" outline="0" fieldPosition="0">
        <references count="2">
          <reference field="4294967294" count="1" selected="0">
            <x v="0"/>
          </reference>
          <reference field="1" count="1" selected="0">
            <x v="7"/>
          </reference>
        </references>
      </pivotArea>
    </chartFormat>
    <chartFormat chart="15" format="44">
      <pivotArea type="data" outline="0" fieldPosition="0">
        <references count="2">
          <reference field="4294967294" count="1" selected="0">
            <x v="0"/>
          </reference>
          <reference field="1" count="1" selected="0">
            <x v="9"/>
          </reference>
        </references>
      </pivotArea>
    </chartFormat>
    <chartFormat chart="15" format="45">
      <pivotArea type="data" outline="0" fieldPosition="0">
        <references count="2">
          <reference field="4294967294" count="1" selected="0">
            <x v="0"/>
          </reference>
          <reference field="1" count="1" selected="0">
            <x v="11"/>
          </reference>
        </references>
      </pivotArea>
    </chartFormat>
    <chartFormat chart="15" format="46">
      <pivotArea type="data" outline="0" fieldPosition="0">
        <references count="2">
          <reference field="4294967294" count="1" selected="0">
            <x v="0"/>
          </reference>
          <reference field="1" count="1" selected="0">
            <x v="1"/>
          </reference>
        </references>
      </pivotArea>
    </chartFormat>
    <chartFormat chart="15" format="47">
      <pivotArea type="data" outline="0" fieldPosition="0">
        <references count="2">
          <reference field="4294967294" count="1" selected="0">
            <x v="0"/>
          </reference>
          <reference field="1" count="1" selected="0">
            <x v="3"/>
          </reference>
        </references>
      </pivotArea>
    </chartFormat>
    <chartFormat chart="15" format="48">
      <pivotArea type="data" outline="0" fieldPosition="0">
        <references count="2">
          <reference field="4294967294" count="1" selected="0">
            <x v="0"/>
          </reference>
          <reference field="1" count="1" selected="0">
            <x v="6"/>
          </reference>
        </references>
      </pivotArea>
    </chartFormat>
    <chartFormat chart="15" format="49">
      <pivotArea type="data" outline="0" fieldPosition="0">
        <references count="2">
          <reference field="4294967294" count="1" selected="0">
            <x v="0"/>
          </reference>
          <reference field="1" count="1" selected="0">
            <x v="8"/>
          </reference>
        </references>
      </pivotArea>
    </chartFormat>
    <chartFormat chart="18" format="62" series="1">
      <pivotArea type="data" outline="0" fieldPosition="0">
        <references count="1">
          <reference field="4294967294" count="1" selected="0">
            <x v="0"/>
          </reference>
        </references>
      </pivotArea>
    </chartFormat>
    <chartFormat chart="18" format="63">
      <pivotArea type="data" outline="0" fieldPosition="0">
        <references count="2">
          <reference field="4294967294" count="1" selected="0">
            <x v="0"/>
          </reference>
          <reference field="1" count="1" selected="0">
            <x v="0"/>
          </reference>
        </references>
      </pivotArea>
    </chartFormat>
    <chartFormat chart="18" format="64">
      <pivotArea type="data" outline="0" fieldPosition="0">
        <references count="2">
          <reference field="4294967294" count="1" selected="0">
            <x v="0"/>
          </reference>
          <reference field="1" count="1" selected="0">
            <x v="1"/>
          </reference>
        </references>
      </pivotArea>
    </chartFormat>
    <chartFormat chart="18" format="65">
      <pivotArea type="data" outline="0" fieldPosition="0">
        <references count="2">
          <reference field="4294967294" count="1" selected="0">
            <x v="0"/>
          </reference>
          <reference field="1" count="1" selected="0">
            <x v="2"/>
          </reference>
        </references>
      </pivotArea>
    </chartFormat>
    <chartFormat chart="18" format="66">
      <pivotArea type="data" outline="0" fieldPosition="0">
        <references count="2">
          <reference field="4294967294" count="1" selected="0">
            <x v="0"/>
          </reference>
          <reference field="1" count="1" selected="0">
            <x v="3"/>
          </reference>
        </references>
      </pivotArea>
    </chartFormat>
    <chartFormat chart="18" format="67">
      <pivotArea type="data" outline="0" fieldPosition="0">
        <references count="2">
          <reference field="4294967294" count="1" selected="0">
            <x v="0"/>
          </reference>
          <reference field="1" count="1" selected="0">
            <x v="4"/>
          </reference>
        </references>
      </pivotArea>
    </chartFormat>
    <chartFormat chart="18" format="68">
      <pivotArea type="data" outline="0" fieldPosition="0">
        <references count="2">
          <reference field="4294967294" count="1" selected="0">
            <x v="0"/>
          </reference>
          <reference field="1" count="1" selected="0">
            <x v="5"/>
          </reference>
        </references>
      </pivotArea>
    </chartFormat>
    <chartFormat chart="18" format="69">
      <pivotArea type="data" outline="0" fieldPosition="0">
        <references count="2">
          <reference field="4294967294" count="1" selected="0">
            <x v="0"/>
          </reference>
          <reference field="1" count="1" selected="0">
            <x v="6"/>
          </reference>
        </references>
      </pivotArea>
    </chartFormat>
    <chartFormat chart="18" format="70">
      <pivotArea type="data" outline="0" fieldPosition="0">
        <references count="2">
          <reference field="4294967294" count="1" selected="0">
            <x v="0"/>
          </reference>
          <reference field="1" count="1" selected="0">
            <x v="7"/>
          </reference>
        </references>
      </pivotArea>
    </chartFormat>
    <chartFormat chart="18" format="71">
      <pivotArea type="data" outline="0" fieldPosition="0">
        <references count="2">
          <reference field="4294967294" count="1" selected="0">
            <x v="0"/>
          </reference>
          <reference field="1" count="1" selected="0">
            <x v="8"/>
          </reference>
        </references>
      </pivotArea>
    </chartFormat>
    <chartFormat chart="18" format="72">
      <pivotArea type="data" outline="0" fieldPosition="0">
        <references count="2">
          <reference field="4294967294" count="1" selected="0">
            <x v="0"/>
          </reference>
          <reference field="1" count="1" selected="0">
            <x v="9"/>
          </reference>
        </references>
      </pivotArea>
    </chartFormat>
    <chartFormat chart="18" format="73">
      <pivotArea type="data" outline="0" fieldPosition="0">
        <references count="2">
          <reference field="4294967294" count="1" selected="0">
            <x v="0"/>
          </reference>
          <reference field="1" count="1" selected="0">
            <x v="11"/>
          </reference>
        </references>
      </pivotArea>
    </chartFormat>
    <chartFormat chart="15" format="50">
      <pivotArea type="data" outline="0" fieldPosition="0">
        <references count="2">
          <reference field="4294967294" count="1" selected="0">
            <x v="0"/>
          </reference>
          <reference field="1" count="1" selected="0">
            <x v="10"/>
          </reference>
        </references>
      </pivotArea>
    </chartFormat>
    <chartFormat chart="18" format="74">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6E701B-4ADB-4567-8174-36E303071445}" name="PivotTable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8">
  <location ref="A3:B9" firstHeaderRow="1" firstDataRow="1" firstDataCol="1"/>
  <pivotFields count="26">
    <pivotField showAll="0"/>
    <pivotField numFmtId="164" showAll="0" sortType="ascending"/>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axis="axisRow"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165" showAll="0"/>
  </pivotFields>
  <rowFields count="1">
    <field x="21"/>
  </rowFields>
  <rowItems count="6">
    <i>
      <x v="1"/>
    </i>
    <i>
      <x v="12"/>
    </i>
    <i>
      <x v="9"/>
    </i>
    <i>
      <x v="5"/>
    </i>
    <i>
      <x v="6"/>
    </i>
    <i t="grand">
      <x/>
    </i>
  </rowItems>
  <colItems count="1">
    <i/>
  </colItems>
  <dataFields count="1">
    <dataField name="Sum of Revenue" fld="24" baseField="0" baseItem="0"/>
  </dataFields>
  <formats count="5">
    <format dxfId="36">
      <pivotArea field="21" type="button" dataOnly="0" labelOnly="1" outline="0" axis="axisRow" fieldPosition="0"/>
    </format>
    <format dxfId="35">
      <pivotArea dataOnly="0" labelOnly="1" fieldPosition="0">
        <references count="1">
          <reference field="21" count="5">
            <x v="1"/>
            <x v="5"/>
            <x v="6"/>
            <x v="9"/>
            <x v="12"/>
          </reference>
        </references>
      </pivotArea>
    </format>
    <format dxfId="34">
      <pivotArea dataOnly="0" labelOnly="1" grandRow="1" outline="0" fieldPosition="0"/>
    </format>
    <format dxfId="33">
      <pivotArea outline="0" collapsedLevelsAreSubtotals="1" fieldPosition="0"/>
    </format>
    <format dxfId="32">
      <pivotArea dataOnly="0" labelOnly="1" outline="0" axis="axisValues" fieldPosition="0"/>
    </format>
  </formats>
  <chartFormats count="37">
    <chartFormat chart="13" format="0"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5" format="28" series="1">
      <pivotArea type="data" outline="0" fieldPosition="0">
        <references count="1">
          <reference field="4294967294" count="1" selected="0">
            <x v="0"/>
          </reference>
        </references>
      </pivotArea>
    </chartFormat>
    <chartFormat chart="18" format="62" series="1">
      <pivotArea type="data" outline="0" fieldPosition="0">
        <references count="1">
          <reference field="4294967294" count="1" selected="0">
            <x v="0"/>
          </reference>
        </references>
      </pivotArea>
    </chartFormat>
    <chartFormat chart="24" format="51" series="1">
      <pivotArea type="data" outline="0" fieldPosition="0">
        <references count="1">
          <reference field="4294967294" count="1" selected="0">
            <x v="0"/>
          </reference>
        </references>
      </pivotArea>
    </chartFormat>
    <chartFormat chart="24" format="64">
      <pivotArea type="data" outline="0" fieldPosition="0">
        <references count="2">
          <reference field="4294967294" count="1" selected="0">
            <x v="0"/>
          </reference>
          <reference field="21" count="1" selected="0">
            <x v="1"/>
          </reference>
        </references>
      </pivotArea>
    </chartFormat>
    <chartFormat chart="24" format="65">
      <pivotArea type="data" outline="0" fieldPosition="0">
        <references count="2">
          <reference field="4294967294" count="1" selected="0">
            <x v="0"/>
          </reference>
          <reference field="21" count="1" selected="0">
            <x v="12"/>
          </reference>
        </references>
      </pivotArea>
    </chartFormat>
    <chartFormat chart="24" format="66">
      <pivotArea type="data" outline="0" fieldPosition="0">
        <references count="2">
          <reference field="4294967294" count="1" selected="0">
            <x v="0"/>
          </reference>
          <reference field="21" count="1" selected="0">
            <x v="9"/>
          </reference>
        </references>
      </pivotArea>
    </chartFormat>
    <chartFormat chart="24" format="67">
      <pivotArea type="data" outline="0" fieldPosition="0">
        <references count="2">
          <reference field="4294967294" count="1" selected="0">
            <x v="0"/>
          </reference>
          <reference field="21" count="1" selected="0">
            <x v="5"/>
          </reference>
        </references>
      </pivotArea>
    </chartFormat>
    <chartFormat chart="24" format="68">
      <pivotArea type="data" outline="0" fieldPosition="0">
        <references count="2">
          <reference field="4294967294" count="1" selected="0">
            <x v="0"/>
          </reference>
          <reference field="21" count="1" selected="0">
            <x v="6"/>
          </reference>
        </references>
      </pivotArea>
    </chartFormat>
    <chartFormat chart="33" format="81" series="1">
      <pivotArea type="data" outline="0" fieldPosition="0">
        <references count="1">
          <reference field="4294967294" count="1" selected="0">
            <x v="0"/>
          </reference>
        </references>
      </pivotArea>
    </chartFormat>
    <chartFormat chart="33" format="82">
      <pivotArea type="data" outline="0" fieldPosition="0">
        <references count="2">
          <reference field="4294967294" count="1" selected="0">
            <x v="0"/>
          </reference>
          <reference field="21" count="1" selected="0">
            <x v="1"/>
          </reference>
        </references>
      </pivotArea>
    </chartFormat>
    <chartFormat chart="33" format="83">
      <pivotArea type="data" outline="0" fieldPosition="0">
        <references count="2">
          <reference field="4294967294" count="1" selected="0">
            <x v="0"/>
          </reference>
          <reference field="21" count="1" selected="0">
            <x v="12"/>
          </reference>
        </references>
      </pivotArea>
    </chartFormat>
    <chartFormat chart="33" format="84">
      <pivotArea type="data" outline="0" fieldPosition="0">
        <references count="2">
          <reference field="4294967294" count="1" selected="0">
            <x v="0"/>
          </reference>
          <reference field="21" count="1" selected="0">
            <x v="9"/>
          </reference>
        </references>
      </pivotArea>
    </chartFormat>
    <chartFormat chart="33" format="85">
      <pivotArea type="data" outline="0" fieldPosition="0">
        <references count="2">
          <reference field="4294967294" count="1" selected="0">
            <x v="0"/>
          </reference>
          <reference field="21" count="1" selected="0">
            <x v="5"/>
          </reference>
        </references>
      </pivotArea>
    </chartFormat>
    <chartFormat chart="33" format="86">
      <pivotArea type="data" outline="0" fieldPosition="0">
        <references count="2">
          <reference field="4294967294" count="1" selected="0">
            <x v="0"/>
          </reference>
          <reference field="21" count="1" selected="0">
            <x v="6"/>
          </reference>
        </references>
      </pivotArea>
    </chartFormat>
    <chartFormat chart="34" format="69" series="1">
      <pivotArea type="data" outline="0" fieldPosition="0">
        <references count="1">
          <reference field="4294967294" count="1" selected="0">
            <x v="0"/>
          </reference>
        </references>
      </pivotArea>
    </chartFormat>
    <chartFormat chart="34" format="70">
      <pivotArea type="data" outline="0" fieldPosition="0">
        <references count="2">
          <reference field="4294967294" count="1" selected="0">
            <x v="0"/>
          </reference>
          <reference field="21" count="1" selected="0">
            <x v="1"/>
          </reference>
        </references>
      </pivotArea>
    </chartFormat>
    <chartFormat chart="34" format="71">
      <pivotArea type="data" outline="0" fieldPosition="0">
        <references count="2">
          <reference field="4294967294" count="1" selected="0">
            <x v="0"/>
          </reference>
          <reference field="21" count="1" selected="0">
            <x v="12"/>
          </reference>
        </references>
      </pivotArea>
    </chartFormat>
    <chartFormat chart="34" format="72">
      <pivotArea type="data" outline="0" fieldPosition="0">
        <references count="2">
          <reference field="4294967294" count="1" selected="0">
            <x v="0"/>
          </reference>
          <reference field="21" count="1" selected="0">
            <x v="9"/>
          </reference>
        </references>
      </pivotArea>
    </chartFormat>
    <chartFormat chart="34" format="73">
      <pivotArea type="data" outline="0" fieldPosition="0">
        <references count="2">
          <reference field="4294967294" count="1" selected="0">
            <x v="0"/>
          </reference>
          <reference field="21" count="1" selected="0">
            <x v="5"/>
          </reference>
        </references>
      </pivotArea>
    </chartFormat>
    <chartFormat chart="34" format="74">
      <pivotArea type="data" outline="0" fieldPosition="0">
        <references count="2">
          <reference field="4294967294" count="1" selected="0">
            <x v="0"/>
          </reference>
          <reference field="21" count="1" selected="0">
            <x v="6"/>
          </reference>
        </references>
      </pivotArea>
    </chartFormat>
    <chartFormat chart="35" format="69" series="1">
      <pivotArea type="data" outline="0" fieldPosition="0">
        <references count="1">
          <reference field="4294967294" count="1" selected="0">
            <x v="0"/>
          </reference>
        </references>
      </pivotArea>
    </chartFormat>
    <chartFormat chart="35" format="70">
      <pivotArea type="data" outline="0" fieldPosition="0">
        <references count="2">
          <reference field="4294967294" count="1" selected="0">
            <x v="0"/>
          </reference>
          <reference field="21" count="1" selected="0">
            <x v="1"/>
          </reference>
        </references>
      </pivotArea>
    </chartFormat>
    <chartFormat chart="35" format="71">
      <pivotArea type="data" outline="0" fieldPosition="0">
        <references count="2">
          <reference field="4294967294" count="1" selected="0">
            <x v="0"/>
          </reference>
          <reference field="21" count="1" selected="0">
            <x v="12"/>
          </reference>
        </references>
      </pivotArea>
    </chartFormat>
    <chartFormat chart="35" format="72">
      <pivotArea type="data" outline="0" fieldPosition="0">
        <references count="2">
          <reference field="4294967294" count="1" selected="0">
            <x v="0"/>
          </reference>
          <reference field="21" count="1" selected="0">
            <x v="9"/>
          </reference>
        </references>
      </pivotArea>
    </chartFormat>
    <chartFormat chart="35" format="73">
      <pivotArea type="data" outline="0" fieldPosition="0">
        <references count="2">
          <reference field="4294967294" count="1" selected="0">
            <x v="0"/>
          </reference>
          <reference field="21" count="1" selected="0">
            <x v="5"/>
          </reference>
        </references>
      </pivotArea>
    </chartFormat>
    <chartFormat chart="35" format="74">
      <pivotArea type="data" outline="0" fieldPosition="0">
        <references count="2">
          <reference field="4294967294" count="1" selected="0">
            <x v="0"/>
          </reference>
          <reference field="21" count="1" selected="0">
            <x v="6"/>
          </reference>
        </references>
      </pivotArea>
    </chartFormat>
    <chartFormat chart="36" format="75" series="1">
      <pivotArea type="data" outline="0" fieldPosition="0">
        <references count="1">
          <reference field="4294967294" count="1" selected="0">
            <x v="0"/>
          </reference>
        </references>
      </pivotArea>
    </chartFormat>
    <chartFormat chart="36" format="76">
      <pivotArea type="data" outline="0" fieldPosition="0">
        <references count="2">
          <reference field="4294967294" count="1" selected="0">
            <x v="0"/>
          </reference>
          <reference field="21" count="1" selected="0">
            <x v="1"/>
          </reference>
        </references>
      </pivotArea>
    </chartFormat>
    <chartFormat chart="36" format="77">
      <pivotArea type="data" outline="0" fieldPosition="0">
        <references count="2">
          <reference field="4294967294" count="1" selected="0">
            <x v="0"/>
          </reference>
          <reference field="21" count="1" selected="0">
            <x v="12"/>
          </reference>
        </references>
      </pivotArea>
    </chartFormat>
    <chartFormat chart="36" format="78">
      <pivotArea type="data" outline="0" fieldPosition="0">
        <references count="2">
          <reference field="4294967294" count="1" selected="0">
            <x v="0"/>
          </reference>
          <reference field="21" count="1" selected="0">
            <x v="9"/>
          </reference>
        </references>
      </pivotArea>
    </chartFormat>
    <chartFormat chart="36" format="79">
      <pivotArea type="data" outline="0" fieldPosition="0">
        <references count="2">
          <reference field="4294967294" count="1" selected="0">
            <x v="0"/>
          </reference>
          <reference field="21" count="1" selected="0">
            <x v="5"/>
          </reference>
        </references>
      </pivotArea>
    </chartFormat>
    <chartFormat chart="36" format="80">
      <pivotArea type="data" outline="0" fieldPosition="0">
        <references count="2">
          <reference field="4294967294" count="1" selected="0">
            <x v="0"/>
          </reference>
          <reference field="21" count="1" selected="0">
            <x v="6"/>
          </reference>
        </references>
      </pivotArea>
    </chartFormat>
    <chartFormat chart="24" format="69">
      <pivotArea type="data" outline="0" fieldPosition="0">
        <references count="2">
          <reference field="4294967294" count="1" selected="0">
            <x v="0"/>
          </reference>
          <reference field="21" count="1" selected="0">
            <x v="3"/>
          </reference>
        </references>
      </pivotArea>
    </chartFormat>
    <chartFormat chart="24" format="70">
      <pivotArea type="data" outline="0" fieldPosition="0">
        <references count="2">
          <reference field="4294967294" count="1" selected="0">
            <x v="0"/>
          </reference>
          <reference field="21" count="1" selected="0">
            <x v="10"/>
          </reference>
        </references>
      </pivotArea>
    </chartFormat>
    <chartFormat chart="24" format="71">
      <pivotArea type="data" outline="0" fieldPosition="0">
        <references count="2">
          <reference field="4294967294" count="1" selected="0">
            <x v="0"/>
          </reference>
          <reference field="21" count="1" selected="0">
            <x v="14"/>
          </reference>
        </references>
      </pivotArea>
    </chartFormat>
  </chartFormats>
  <pivotTableStyleInfo name="PivotStyleLight16" showRowHeaders="1" showColHeaders="1" showRowStripes="0" showColStripes="0" showLastColumn="1"/>
  <filters count="2">
    <filter fld="21" type="count" evalOrder="-1" id="3" iMeasureFld="0">
      <autoFilter ref="A1">
        <filterColumn colId="0">
          <top10 val="5" filterVal="5"/>
        </filterColumn>
      </autoFilter>
    </filter>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173FA9-E4D1-41EF-AC0F-393464629CF8}" name="PivotTable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5">
  <location ref="A3:B11" firstHeaderRow="1" firstDataRow="1" firstDataCol="1"/>
  <pivotFields count="26">
    <pivotField showAll="0"/>
    <pivotField numFmtId="164" showAll="0"/>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axis="axisRow" dataField="1" numFmtId="165" showAll="0">
      <items count="11">
        <item x="0"/>
        <item x="1"/>
        <item x="2"/>
        <item x="3"/>
        <item x="4"/>
        <item x="5"/>
        <item x="6"/>
        <item x="7"/>
        <item x="8"/>
        <item x="9"/>
        <item t="default"/>
      </items>
    </pivotField>
    <pivotField numFmtId="165" showAll="0"/>
  </pivotFields>
  <rowFields count="1">
    <field x="24"/>
  </rowFields>
  <rowItems count="8">
    <i>
      <x v="1"/>
    </i>
    <i>
      <x v="2"/>
    </i>
    <i>
      <x v="3"/>
    </i>
    <i>
      <x v="4"/>
    </i>
    <i>
      <x v="5"/>
    </i>
    <i>
      <x v="7"/>
    </i>
    <i>
      <x v="8"/>
    </i>
    <i t="grand">
      <x/>
    </i>
  </rowItems>
  <colItems count="1">
    <i/>
  </colItems>
  <dataFields count="1">
    <dataField name="Count of Revenue" fld="24" subtotal="count" baseField="24" baseItem="1"/>
  </dataFields>
  <formats count="6">
    <format dxfId="31">
      <pivotArea type="all" dataOnly="0" outline="0" fieldPosition="0"/>
    </format>
    <format dxfId="30">
      <pivotArea outline="0" collapsedLevelsAreSubtotals="1" fieldPosition="0"/>
    </format>
    <format dxfId="29">
      <pivotArea field="24" type="button" dataOnly="0" labelOnly="1" outline="0" axis="axisRow" fieldPosition="0"/>
    </format>
    <format dxfId="28">
      <pivotArea dataOnly="0" labelOnly="1" fieldPosition="0">
        <references count="1">
          <reference field="24" count="7">
            <x v="1"/>
            <x v="2"/>
            <x v="3"/>
            <x v="4"/>
            <x v="5"/>
            <x v="7"/>
            <x v="8"/>
          </reference>
        </references>
      </pivotArea>
    </format>
    <format dxfId="27">
      <pivotArea dataOnly="0" labelOnly="1" grandRow="1" outline="0" fieldPosition="0"/>
    </format>
    <format dxfId="26">
      <pivotArea dataOnly="0" labelOnly="1" outline="0" axis="axisValues" fieldPosition="0"/>
    </format>
  </formats>
  <chartFormats count="28">
    <chartFormat chart="13" format="0"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5" format="28" series="1">
      <pivotArea type="data" outline="0" fieldPosition="0">
        <references count="1">
          <reference field="4294967294" count="1" selected="0">
            <x v="0"/>
          </reference>
        </references>
      </pivotArea>
    </chartFormat>
    <chartFormat chart="16" format="39" series="1">
      <pivotArea type="data" outline="0" fieldPosition="0">
        <references count="1">
          <reference field="4294967294" count="1" selected="0">
            <x v="0"/>
          </reference>
        </references>
      </pivotArea>
    </chartFormat>
    <chartFormat chart="17" format="50" series="1">
      <pivotArea type="data" outline="0" fieldPosition="0">
        <references count="1">
          <reference field="4294967294" count="1" selected="0">
            <x v="0"/>
          </reference>
        </references>
      </pivotArea>
    </chartFormat>
    <chartFormat chart="17" format="61">
      <pivotArea type="data" outline="0" fieldPosition="0">
        <references count="2">
          <reference field="4294967294" count="1" selected="0">
            <x v="0"/>
          </reference>
          <reference field="24" count="1" selected="0">
            <x v="1"/>
          </reference>
        </references>
      </pivotArea>
    </chartFormat>
    <chartFormat chart="17" format="62">
      <pivotArea type="data" outline="0" fieldPosition="0">
        <references count="2">
          <reference field="4294967294" count="1" selected="0">
            <x v="0"/>
          </reference>
          <reference field="24" count="1" selected="0">
            <x v="2"/>
          </reference>
        </references>
      </pivotArea>
    </chartFormat>
    <chartFormat chart="17" format="63">
      <pivotArea type="data" outline="0" fieldPosition="0">
        <references count="2">
          <reference field="4294967294" count="1" selected="0">
            <x v="0"/>
          </reference>
          <reference field="24" count="1" selected="0">
            <x v="3"/>
          </reference>
        </references>
      </pivotArea>
    </chartFormat>
    <chartFormat chart="17" format="64">
      <pivotArea type="data" outline="0" fieldPosition="0">
        <references count="2">
          <reference field="4294967294" count="1" selected="0">
            <x v="0"/>
          </reference>
          <reference field="24" count="1" selected="0">
            <x v="4"/>
          </reference>
        </references>
      </pivotArea>
    </chartFormat>
    <chartFormat chart="17" format="65">
      <pivotArea type="data" outline="0" fieldPosition="0">
        <references count="2">
          <reference field="4294967294" count="1" selected="0">
            <x v="0"/>
          </reference>
          <reference field="24" count="1" selected="0">
            <x v="5"/>
          </reference>
        </references>
      </pivotArea>
    </chartFormat>
    <chartFormat chart="17" format="66">
      <pivotArea type="data" outline="0" fieldPosition="0">
        <references count="2">
          <reference field="4294967294" count="1" selected="0">
            <x v="0"/>
          </reference>
          <reference field="24" count="1" selected="0">
            <x v="7"/>
          </reference>
        </references>
      </pivotArea>
    </chartFormat>
    <chartFormat chart="17" format="67">
      <pivotArea type="data" outline="0" fieldPosition="0">
        <references count="2">
          <reference field="4294967294" count="1" selected="0">
            <x v="0"/>
          </reference>
          <reference field="24" count="1" selected="0">
            <x v="8"/>
          </reference>
        </references>
      </pivotArea>
    </chartFormat>
    <chartFormat chart="18" format="68" series="1">
      <pivotArea type="data" outline="0" fieldPosition="0">
        <references count="1">
          <reference field="4294967294" count="1" selected="0">
            <x v="0"/>
          </reference>
        </references>
      </pivotArea>
    </chartFormat>
    <chartFormat chart="18" format="69">
      <pivotArea type="data" outline="0" fieldPosition="0">
        <references count="2">
          <reference field="4294967294" count="1" selected="0">
            <x v="0"/>
          </reference>
          <reference field="24" count="1" selected="0">
            <x v="1"/>
          </reference>
        </references>
      </pivotArea>
    </chartFormat>
    <chartFormat chart="18" format="70">
      <pivotArea type="data" outline="0" fieldPosition="0">
        <references count="2">
          <reference field="4294967294" count="1" selected="0">
            <x v="0"/>
          </reference>
          <reference field="24" count="1" selected="0">
            <x v="2"/>
          </reference>
        </references>
      </pivotArea>
    </chartFormat>
    <chartFormat chart="18" format="71">
      <pivotArea type="data" outline="0" fieldPosition="0">
        <references count="2">
          <reference field="4294967294" count="1" selected="0">
            <x v="0"/>
          </reference>
          <reference field="24" count="1" selected="0">
            <x v="3"/>
          </reference>
        </references>
      </pivotArea>
    </chartFormat>
    <chartFormat chart="18" format="72">
      <pivotArea type="data" outline="0" fieldPosition="0">
        <references count="2">
          <reference field="4294967294" count="1" selected="0">
            <x v="0"/>
          </reference>
          <reference field="24" count="1" selected="0">
            <x v="4"/>
          </reference>
        </references>
      </pivotArea>
    </chartFormat>
    <chartFormat chart="18" format="73">
      <pivotArea type="data" outline="0" fieldPosition="0">
        <references count="2">
          <reference field="4294967294" count="1" selected="0">
            <x v="0"/>
          </reference>
          <reference field="24" count="1" selected="0">
            <x v="5"/>
          </reference>
        </references>
      </pivotArea>
    </chartFormat>
    <chartFormat chart="18" format="74">
      <pivotArea type="data" outline="0" fieldPosition="0">
        <references count="2">
          <reference field="4294967294" count="1" selected="0">
            <x v="0"/>
          </reference>
          <reference field="24" count="1" selected="0">
            <x v="7"/>
          </reference>
        </references>
      </pivotArea>
    </chartFormat>
    <chartFormat chart="18" format="75">
      <pivotArea type="data" outline="0" fieldPosition="0">
        <references count="2">
          <reference field="4294967294" count="1" selected="0">
            <x v="0"/>
          </reference>
          <reference field="24" count="1" selected="0">
            <x v="8"/>
          </reference>
        </references>
      </pivotArea>
    </chartFormat>
    <chartFormat chart="21" format="76" series="1">
      <pivotArea type="data" outline="0" fieldPosition="0">
        <references count="1">
          <reference field="4294967294" count="1" selected="0">
            <x v="0"/>
          </reference>
        </references>
      </pivotArea>
    </chartFormat>
    <chartFormat chart="21" format="77">
      <pivotArea type="data" outline="0" fieldPosition="0">
        <references count="2">
          <reference field="4294967294" count="1" selected="0">
            <x v="0"/>
          </reference>
          <reference field="24" count="1" selected="0">
            <x v="1"/>
          </reference>
        </references>
      </pivotArea>
    </chartFormat>
    <chartFormat chart="21" format="78">
      <pivotArea type="data" outline="0" fieldPosition="0">
        <references count="2">
          <reference field="4294967294" count="1" selected="0">
            <x v="0"/>
          </reference>
          <reference field="24" count="1" selected="0">
            <x v="2"/>
          </reference>
        </references>
      </pivotArea>
    </chartFormat>
    <chartFormat chart="21" format="79">
      <pivotArea type="data" outline="0" fieldPosition="0">
        <references count="2">
          <reference field="4294967294" count="1" selected="0">
            <x v="0"/>
          </reference>
          <reference field="24" count="1" selected="0">
            <x v="3"/>
          </reference>
        </references>
      </pivotArea>
    </chartFormat>
    <chartFormat chart="21" format="80">
      <pivotArea type="data" outline="0" fieldPosition="0">
        <references count="2">
          <reference field="4294967294" count="1" selected="0">
            <x v="0"/>
          </reference>
          <reference field="24" count="1" selected="0">
            <x v="4"/>
          </reference>
        </references>
      </pivotArea>
    </chartFormat>
    <chartFormat chart="21" format="81">
      <pivotArea type="data" outline="0" fieldPosition="0">
        <references count="2">
          <reference field="4294967294" count="1" selected="0">
            <x v="0"/>
          </reference>
          <reference field="24" count="1" selected="0">
            <x v="5"/>
          </reference>
        </references>
      </pivotArea>
    </chartFormat>
    <chartFormat chart="21" format="82">
      <pivotArea type="data" outline="0" fieldPosition="0">
        <references count="2">
          <reference field="4294967294" count="1" selected="0">
            <x v="0"/>
          </reference>
          <reference field="24" count="1" selected="0">
            <x v="7"/>
          </reference>
        </references>
      </pivotArea>
    </chartFormat>
    <chartFormat chart="21" format="83">
      <pivotArea type="data" outline="0" fieldPosition="0">
        <references count="2">
          <reference field="4294967294" count="1" selected="0">
            <x v="0"/>
          </reference>
          <reference field="24" count="1" selected="0">
            <x v="8"/>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C097AB-8CF7-47C0-8576-8D7808317B7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6" firstHeaderRow="1" firstDataRow="1" firstDataCol="1"/>
  <pivotFields count="2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1"/>
        <item x="5"/>
        <item x="3"/>
        <item x="6"/>
        <item x="0"/>
        <item x="4"/>
        <item x="2"/>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3">
    <i>
      <x v="6"/>
    </i>
    <i>
      <x v="7"/>
    </i>
    <i>
      <x v="2"/>
    </i>
    <i>
      <x v="8"/>
    </i>
    <i>
      <x v="4"/>
    </i>
    <i>
      <x v="11"/>
    </i>
    <i>
      <x v="10"/>
    </i>
    <i>
      <x v="9"/>
    </i>
    <i>
      <x/>
    </i>
    <i>
      <x v="3"/>
    </i>
    <i>
      <x v="1"/>
    </i>
    <i>
      <x v="5"/>
    </i>
    <i t="grand">
      <x/>
    </i>
  </rowItems>
  <colItems count="1">
    <i/>
  </colItems>
  <dataFields count="1">
    <dataField name="Sum of Revenue" fld="24" baseField="0" baseItem="0" numFmtId="166"/>
  </dataFields>
  <formats count="14">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6" type="button" dataOnly="0" labelOnly="1" outline="0" axis="axisRow" fieldPosition="0"/>
    </format>
    <format dxfId="20">
      <pivotArea dataOnly="0" labelOnly="1" fieldPosition="0">
        <references count="1">
          <reference field="6"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6" type="button" dataOnly="0" labelOnly="1" outline="0" axis="axisRow" fieldPosition="0"/>
    </format>
    <format dxfId="14">
      <pivotArea dataOnly="0" labelOnly="1" fieldPosition="0">
        <references count="1">
          <reference field="6" count="0"/>
        </references>
      </pivotArea>
    </format>
    <format dxfId="13">
      <pivotArea dataOnly="0" labelOnly="1" grandRow="1" outline="0" fieldPosition="0"/>
    </format>
    <format dxfId="12">
      <pivotArea dataOnly="0" labelOnly="1" outline="0" axis="axisValues" fieldPosition="0"/>
    </format>
  </formats>
  <chartFormats count="4">
    <chartFormat chart="1" format="18" series="1">
      <pivotArea type="data" outline="0" fieldPosition="0">
        <references count="1">
          <reference field="4294967294" count="1" selected="0">
            <x v="0"/>
          </reference>
        </references>
      </pivotArea>
    </chartFormat>
    <chartFormat chart="2" format="29" series="1">
      <pivotArea type="data" outline="0" fieldPosition="0">
        <references count="1">
          <reference field="4294967294" count="1" selected="0">
            <x v="0"/>
          </reference>
        </references>
      </pivotArea>
    </chartFormat>
    <chartFormat chart="3" format="54" series="1">
      <pivotArea type="data" outline="0" fieldPosition="0">
        <references count="1">
          <reference field="4294967294" count="1" selected="0">
            <x v="0"/>
          </reference>
        </references>
      </pivotArea>
    </chartFormat>
    <chartFormat chart="4" format="6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76D39C-4822-417D-B3AD-566B49F0A629}" name="PivotTable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0">
  <location ref="A3:B9" firstHeaderRow="1" firstDataRow="1" firstDataCol="1"/>
  <pivotFields count="26">
    <pivotField showAll="0"/>
    <pivotField numFmtId="164" showAll="0"/>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13">
        <item x="10"/>
        <item x="11"/>
        <item x="2"/>
        <item x="1"/>
        <item x="5"/>
        <item x="9"/>
        <item x="6"/>
        <item x="4"/>
        <item x="0"/>
        <item x="3"/>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165" showAll="0"/>
  </pivotFields>
  <rowFields count="1">
    <field x="5"/>
  </rowFields>
  <rowItems count="6">
    <i>
      <x v="3"/>
    </i>
    <i>
      <x v="2"/>
    </i>
    <i>
      <x v="5"/>
    </i>
    <i>
      <x v="6"/>
    </i>
    <i>
      <x v="10"/>
    </i>
    <i t="grand">
      <x/>
    </i>
  </rowItems>
  <colItems count="1">
    <i/>
  </colItems>
  <dataFields count="1">
    <dataField name="Sum of Revenue" fld="24" baseField="0" baseItem="0"/>
  </dataFields>
  <formats count="6">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fieldPosition="0">
        <references count="1">
          <reference field="5" count="5">
            <x v="2"/>
            <x v="3"/>
            <x v="5"/>
            <x v="6"/>
            <x v="10"/>
          </reference>
        </references>
      </pivotArea>
    </format>
    <format dxfId="7">
      <pivotArea dataOnly="0" labelOnly="1" grandRow="1" outline="0" fieldPosition="0"/>
    </format>
    <format dxfId="6">
      <pivotArea dataOnly="0" labelOnly="1" outline="0" axis="axisValues" fieldPosition="0"/>
    </format>
  </formats>
  <chartFormats count="9">
    <chartFormat chart="13" format="0"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5" format="28"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5" count="1" selected="0">
            <x v="3"/>
          </reference>
        </references>
      </pivotArea>
    </chartFormat>
    <chartFormat chart="17" format="2">
      <pivotArea type="data" outline="0" fieldPosition="0">
        <references count="2">
          <reference field="4294967294" count="1" selected="0">
            <x v="0"/>
          </reference>
          <reference field="5" count="1" selected="0">
            <x v="2"/>
          </reference>
        </references>
      </pivotArea>
    </chartFormat>
    <chartFormat chart="17" format="3">
      <pivotArea type="data" outline="0" fieldPosition="0">
        <references count="2">
          <reference field="4294967294" count="1" selected="0">
            <x v="0"/>
          </reference>
          <reference field="5" count="1" selected="0">
            <x v="5"/>
          </reference>
        </references>
      </pivotArea>
    </chartFormat>
    <chartFormat chart="17" format="4">
      <pivotArea type="data" outline="0" fieldPosition="0">
        <references count="2">
          <reference field="4294967294" count="1" selected="0">
            <x v="0"/>
          </reference>
          <reference field="5" count="1" selected="0">
            <x v="6"/>
          </reference>
        </references>
      </pivotArea>
    </chartFormat>
    <chartFormat chart="17" format="5">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filters count="3">
    <filter fld="3" type="count" evalOrder="-1" id="1" iMeasureFld="0">
      <autoFilter ref="A1">
        <filterColumn colId="0">
          <top10 val="10" filterVal="10"/>
        </filterColumn>
      </autoFilter>
    </filter>
    <filter fld="21" type="count" evalOrder="-1" id="2" iMeasureFld="0">
      <autoFilter ref="A1">
        <filterColumn colId="0">
          <top10 val="6" filterVal="6"/>
        </filterColumn>
      </autoFilter>
    </filter>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AD74A7-81AB-436C-96BF-65A967A6322A}" name="PivotTable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3">
  <location ref="A3:B10" firstHeaderRow="1" firstDataRow="1" firstDataCol="1"/>
  <pivotFields count="26">
    <pivotField showAll="0"/>
    <pivotField numFmtId="164" showAll="0"/>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165" showAll="0"/>
  </pivotFields>
  <rowFields count="1">
    <field x="15"/>
  </rowFields>
  <rowItems count="7">
    <i>
      <x v="8"/>
    </i>
    <i>
      <x v="9"/>
    </i>
    <i>
      <x v="6"/>
    </i>
    <i>
      <x v="5"/>
    </i>
    <i>
      <x v="1"/>
    </i>
    <i>
      <x v="7"/>
    </i>
    <i t="grand">
      <x/>
    </i>
  </rowItems>
  <colItems count="1">
    <i/>
  </colItems>
  <dataFields count="1">
    <dataField name="Sum of Revenue" fld="24" baseField="0" baseItem="0"/>
  </dataFields>
  <formats count="6">
    <format dxfId="5">
      <pivotArea type="all" dataOnly="0" outline="0" fieldPosition="0"/>
    </format>
    <format dxfId="4">
      <pivotArea outline="0" collapsedLevelsAreSubtotals="1" fieldPosition="0"/>
    </format>
    <format dxfId="3">
      <pivotArea field="15" type="button" dataOnly="0" labelOnly="1" outline="0" axis="axisRow" fieldPosition="0"/>
    </format>
    <format dxfId="2">
      <pivotArea dataOnly="0" labelOnly="1" fieldPosition="0">
        <references count="1">
          <reference field="15" count="6">
            <x v="1"/>
            <x v="5"/>
            <x v="6"/>
            <x v="7"/>
            <x v="8"/>
            <x v="9"/>
          </reference>
        </references>
      </pivotArea>
    </format>
    <format dxfId="1">
      <pivotArea dataOnly="0" labelOnly="1" grandRow="1" outline="0" fieldPosition="0"/>
    </format>
    <format dxfId="0">
      <pivotArea dataOnly="0" labelOnly="1" outline="0" axis="axisValues" fieldPosition="0"/>
    </format>
  </formats>
  <chartFormats count="18">
    <chartFormat chart="13" format="0"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5" format="28"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12">
      <pivotArea type="data" outline="0" fieldPosition="0">
        <references count="2">
          <reference field="4294967294" count="1" selected="0">
            <x v="0"/>
          </reference>
          <reference field="15" count="1" selected="0">
            <x v="8"/>
          </reference>
        </references>
      </pivotArea>
    </chartFormat>
    <chartFormat chart="18" format="13">
      <pivotArea type="data" outline="0" fieldPosition="0">
        <references count="2">
          <reference field="4294967294" count="1" selected="0">
            <x v="0"/>
          </reference>
          <reference field="15" count="1" selected="0">
            <x v="9"/>
          </reference>
        </references>
      </pivotArea>
    </chartFormat>
    <chartFormat chart="18" format="14">
      <pivotArea type="data" outline="0" fieldPosition="0">
        <references count="2">
          <reference field="4294967294" count="1" selected="0">
            <x v="0"/>
          </reference>
          <reference field="15" count="1" selected="0">
            <x v="6"/>
          </reference>
        </references>
      </pivotArea>
    </chartFormat>
    <chartFormat chart="18" format="15">
      <pivotArea type="data" outline="0" fieldPosition="0">
        <references count="2">
          <reference field="4294967294" count="1" selected="0">
            <x v="0"/>
          </reference>
          <reference field="15" count="1" selected="0">
            <x v="5"/>
          </reference>
        </references>
      </pivotArea>
    </chartFormat>
    <chartFormat chart="18" format="16">
      <pivotArea type="data" outline="0" fieldPosition="0">
        <references count="2">
          <reference field="4294967294" count="1" selected="0">
            <x v="0"/>
          </reference>
          <reference field="15" count="1" selected="0">
            <x v="1"/>
          </reference>
        </references>
      </pivotArea>
    </chartFormat>
    <chartFormat chart="18" format="17">
      <pivotArea type="data" outline="0" fieldPosition="0">
        <references count="2">
          <reference field="4294967294" count="1" selected="0">
            <x v="0"/>
          </reference>
          <reference field="15" count="1" selected="0">
            <x v="7"/>
          </reference>
        </references>
      </pivotArea>
    </chartFormat>
    <chartFormat chart="20" format="25" series="1">
      <pivotArea type="data" outline="0" fieldPosition="0">
        <references count="1">
          <reference field="4294967294" count="1" selected="0">
            <x v="0"/>
          </reference>
        </references>
      </pivotArea>
    </chartFormat>
    <chartFormat chart="20" format="26">
      <pivotArea type="data" outline="0" fieldPosition="0">
        <references count="2">
          <reference field="4294967294" count="1" selected="0">
            <x v="0"/>
          </reference>
          <reference field="15" count="1" selected="0">
            <x v="8"/>
          </reference>
        </references>
      </pivotArea>
    </chartFormat>
    <chartFormat chart="20" format="27">
      <pivotArea type="data" outline="0" fieldPosition="0">
        <references count="2">
          <reference field="4294967294" count="1" selected="0">
            <x v="0"/>
          </reference>
          <reference field="15" count="1" selected="0">
            <x v="9"/>
          </reference>
        </references>
      </pivotArea>
    </chartFormat>
    <chartFormat chart="20" format="28">
      <pivotArea type="data" outline="0" fieldPosition="0">
        <references count="2">
          <reference field="4294967294" count="1" selected="0">
            <x v="0"/>
          </reference>
          <reference field="15" count="1" selected="0">
            <x v="6"/>
          </reference>
        </references>
      </pivotArea>
    </chartFormat>
    <chartFormat chart="20" format="29">
      <pivotArea type="data" outline="0" fieldPosition="0">
        <references count="2">
          <reference field="4294967294" count="1" selected="0">
            <x v="0"/>
          </reference>
          <reference field="15" count="1" selected="0">
            <x v="5"/>
          </reference>
        </references>
      </pivotArea>
    </chartFormat>
    <chartFormat chart="20" format="30">
      <pivotArea type="data" outline="0" fieldPosition="0">
        <references count="2">
          <reference field="4294967294" count="1" selected="0">
            <x v="0"/>
          </reference>
          <reference field="15" count="1" selected="0">
            <x v="1"/>
          </reference>
        </references>
      </pivotArea>
    </chartFormat>
    <chartFormat chart="20" format="31">
      <pivotArea type="data" outline="0" fieldPosition="0">
        <references count="2">
          <reference field="4294967294" count="1" selected="0">
            <x v="0"/>
          </reference>
          <reference field="15" count="1" selected="0">
            <x v="7"/>
          </reference>
        </references>
      </pivotArea>
    </chartFormat>
  </chartFormats>
  <pivotTableStyleInfo name="PivotStyleLight16" showRowHeaders="1" showColHeaders="1" showRowStripes="0" showColStripes="0" showLastColumn="1"/>
  <filters count="4">
    <filter fld="3" type="count" evalOrder="-1" id="1" iMeasureFld="0">
      <autoFilter ref="A1">
        <filterColumn colId="0">
          <top10 val="10" filterVal="10"/>
        </filterColumn>
      </autoFilter>
    </filter>
    <filter fld="21" type="count" evalOrder="-1" id="2" iMeasureFld="0">
      <autoFilter ref="A1">
        <filterColumn colId="0">
          <top10 val="6" filterVal="6"/>
        </filterColumn>
      </autoFilter>
    </filter>
    <filter fld="5" type="count" evalOrder="-1" id="3" iMeasureFld="0">
      <autoFilter ref="A1">
        <filterColumn colId="0">
          <top10 val="5" filterVal="5"/>
        </filterColumn>
      </autoFilter>
    </filter>
    <filter fld="15" type="count" evalOrder="-1" id="4"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7896D80-8A5C-4B5E-90E7-66AB88352901}" sourceName="Salesperson">
  <pivotTables>
    <pivotTable tabId="23" name="PivotTable1"/>
    <pivotTable tabId="21" name="PivotTable1"/>
    <pivotTable tabId="20" name="PivotTable1"/>
    <pivotTable tabId="24" name="PivotTable1"/>
    <pivotTable tabId="27" name="PivotTable1"/>
    <pivotTable tabId="22" name="PivotTable1"/>
    <pivotTable tabId="25" name="PivotTable1"/>
    <pivotTable tabId="32" name="PivotTable1"/>
  </pivotTables>
  <data>
    <tabular pivotCacheId="2086443482">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BEE72401-AB34-422A-9F25-074609BC8562}" sourceName="Customer Name">
  <pivotTables>
    <pivotTable tabId="23" name="PivotTable1"/>
    <pivotTable tabId="21" name="PivotTable1"/>
    <pivotTable tabId="20" name="PivotTable1"/>
    <pivotTable tabId="24" name="PivotTable1"/>
    <pivotTable tabId="27" name="PivotTable1"/>
    <pivotTable tabId="22" name="PivotTable1"/>
    <pivotTable tabId="25" name="PivotTable1"/>
    <pivotTable tabId="32" name="PivotTable1"/>
  </pivotTables>
  <data>
    <tabular pivotCacheId="2086443482">
      <items count="15">
        <i x="11" s="1"/>
        <i x="0" s="1"/>
        <i x="7" s="1"/>
        <i x="5" s="1"/>
        <i x="4" s="1"/>
        <i x="1" s="1"/>
        <i x="6" s="1"/>
        <i x="9" s="1"/>
        <i x="3" s="1"/>
        <i x="12" s="1"/>
        <i x="8" s="1"/>
        <i x="10" s="1"/>
        <i x="2" s="1"/>
        <i x="13"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30E5B8-D58D-4066-A7B1-35B381639B61}" sourceName="Region">
  <pivotTables>
    <pivotTable tabId="23" name="PivotTable1"/>
    <pivotTable tabId="21" name="PivotTable1"/>
    <pivotTable tabId="20" name="PivotTable1"/>
    <pivotTable tabId="24" name="PivotTable1"/>
    <pivotTable tabId="27" name="PivotTable1"/>
    <pivotTable tabId="22" name="PivotTable1"/>
    <pivotTable tabId="25" name="PivotTable1"/>
    <pivotTable tabId="32" name="PivotTable1"/>
  </pivotTables>
  <data>
    <tabular pivotCacheId="2086443482">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656D6FF-F47F-4800-8F03-3E9B79BFF19C}" sourceName="Product Name">
  <pivotTables>
    <pivotTable tabId="23" name="PivotTable1"/>
    <pivotTable tabId="21" name="PivotTable1"/>
    <pivotTable tabId="20" name="PivotTable1"/>
    <pivotTable tabId="24" name="PivotTable1"/>
    <pivotTable tabId="27" name="PivotTable1"/>
    <pivotTable tabId="22" name="PivotTable1"/>
    <pivotTable tabId="25" name="PivotTable1"/>
    <pivotTable tabId="32" name="PivotTable1"/>
  </pivotTables>
  <data>
    <tabular pivotCacheId="2086443482">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1623900F-1E99-4ED1-903B-3FAF1785F051}" cache="Slicer_Salesperson" caption="Salesperson" rowHeight="241300"/>
  <slicer name="Customer Name" xr10:uid="{C7C98C27-4707-4802-947C-604F4D217492}" cache="Slicer_Customer_Name" caption="Customer Name" rowHeight="241300"/>
  <slicer name="Region" xr10:uid="{ED395E52-8DD2-4D3C-948A-435CF12AEC73}" cache="Slicer_Region" caption="Region" rowHeight="241300"/>
  <slicer name="Product Name" xr10:uid="{EBCEB658-CC80-4958-AB94-3BC71E113A96}" cache="Slicer_Product_Name" caption="Product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304C52-917F-406B-AE4E-228E941ADC87}" name="Table1" displayName="Table1" ref="A1:Z370" totalsRowShown="0" headerRowDxfId="85" dataDxfId="83" headerRowBorderDxfId="84" tableBorderDxfId="82" totalsRowBorderDxfId="81" headerRowCellStyle="Currency" dataCellStyle="Currency">
  <autoFilter ref="A1:Z370" xr:uid="{00000000-0009-0000-0000-000007000000}"/>
  <tableColumns count="26">
    <tableColumn id="1" xr3:uid="{9FE7493F-DF8A-4081-8A2F-C3C66EF6CA7A}" name="Order ID" dataDxfId="80"/>
    <tableColumn id="2" xr3:uid="{AFBE3637-3548-4E1B-8E19-EE09BBA4579F}" name="Order Date" dataDxfId="79"/>
    <tableColumn id="3" xr3:uid="{F9942C65-154F-4E9F-B7FF-339F9AB61D6B}" name="Customer ID" dataDxfId="78"/>
    <tableColumn id="4" xr3:uid="{F7A3DBE4-37E2-4018-A063-6FC64C046B6E}" name="Customer Name" dataDxfId="77"/>
    <tableColumn id="5" xr3:uid="{1F9BA363-AB7A-4CBA-9991-349E7FC99F73}" name="Address" dataDxfId="76"/>
    <tableColumn id="6" xr3:uid="{46068C52-B2A3-4B18-B776-9942C6D2AE2B}" name="City" dataDxfId="75"/>
    <tableColumn id="7" xr3:uid="{8B46C374-9FA8-4F4C-91D7-A1AD0B294EC8}" name="State" dataDxfId="74"/>
    <tableColumn id="8" xr3:uid="{BC4FB0A5-150A-4540-913A-6E2BB2040215}" name="ZIP/Postal Code" dataDxfId="73"/>
    <tableColumn id="9" xr3:uid="{870CDA50-F97F-4FCC-931F-C6A2CEA34222}" name="Country/Region" dataDxfId="72"/>
    <tableColumn id="10" xr3:uid="{425A3BC5-48AB-41D7-821B-F6BEBC466F82}" name="Salesperson" dataDxfId="71"/>
    <tableColumn id="11" xr3:uid="{179D450B-D56A-4588-BA54-452A1538C9BE}" name="Region" dataDxfId="70"/>
    <tableColumn id="12" xr3:uid="{AFE2CF08-EF6C-4528-8AF1-71999167D12F}" name="Shipped Date" dataDxfId="69"/>
    <tableColumn id="13" xr3:uid="{7C5C4FC9-6CD8-4B7E-9CAE-EDA8A363CA10}" name="Shipper Name" dataDxfId="68"/>
    <tableColumn id="14" xr3:uid="{19447FF8-3AB0-4359-B52D-A4FA1D0192AB}" name="Ship Name" dataDxfId="67"/>
    <tableColumn id="15" xr3:uid="{C8C7A942-CA3E-43E3-A242-758FAFA2423B}" name="Ship Address" dataDxfId="66"/>
    <tableColumn id="16" xr3:uid="{8E2CFCAF-33FC-4050-877D-927FD3E5BC69}" name="Ship City" dataDxfId="65"/>
    <tableColumn id="17" xr3:uid="{D94B1696-E852-46CF-83ED-433AF0F59DEF}" name="Ship State" dataDxfId="64"/>
    <tableColumn id="18" xr3:uid="{929C94E7-62C5-4A00-95C1-954F2B7FD060}" name="Ship ZIP/Postal Code" dataDxfId="63"/>
    <tableColumn id="19" xr3:uid="{E6196CB9-BBDA-4718-AFD0-383A25CC47AE}" name="Ship Country/Region" dataDxfId="62"/>
    <tableColumn id="20" xr3:uid="{4FDBFCEA-A56B-4F90-83C6-D67E3D42824C}" name="Payment Type" dataDxfId="61"/>
    <tableColumn id="21" xr3:uid="{E885EC54-906F-435C-8856-90387E8062BB}" name="Product Name" dataDxfId="60"/>
    <tableColumn id="22" xr3:uid="{06E6E3B6-EA9E-458D-9992-26AC5685B961}" name="Category" dataDxfId="59"/>
    <tableColumn id="23" xr3:uid="{30570C78-B5F6-4270-8F28-B707A2A5AD39}" name="Unit Price" dataDxfId="58" dataCellStyle="Currency"/>
    <tableColumn id="24" xr3:uid="{C7592367-41FC-489F-9306-A2DA789D566C}" name="Quantity" dataDxfId="57"/>
    <tableColumn id="25" xr3:uid="{8CA5D9C4-0876-404E-B672-15971945D52E}" name="Revenue" dataDxfId="56" dataCellStyle="Currency"/>
    <tableColumn id="26" xr3:uid="{0D2ED69D-7D59-4699-B837-AF3D8ABDF858}" name="Shipping Fee" dataDxfId="55" dataCellStyle="Currenc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4.bin"/><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0"/>
  <sheetViews>
    <sheetView topLeftCell="O1" zoomScaleNormal="100" workbookViewId="0">
      <pane ySplit="1" topLeftCell="A2" activePane="bottomLeft" state="frozen"/>
      <selection activeCell="C19" sqref="C19"/>
      <selection pane="bottomLeft" activeCell="W4" sqref="W4"/>
    </sheetView>
  </sheetViews>
  <sheetFormatPr defaultRowHeight="15" x14ac:dyDescent="0.25"/>
  <cols>
    <col min="1" max="1" width="10.7109375" bestFit="1" customWidth="1"/>
    <col min="2" max="2" width="13" bestFit="1" customWidth="1"/>
    <col min="3" max="3" width="14.140625" bestFit="1" customWidth="1"/>
    <col min="4" max="4" width="17.7109375" bestFit="1" customWidth="1"/>
    <col min="5" max="5" width="14.28515625" bestFit="1" customWidth="1"/>
    <col min="6" max="6" width="12.5703125" bestFit="1" customWidth="1"/>
    <col min="7" max="7" width="7.85546875" bestFit="1" customWidth="1"/>
    <col min="8" max="9" width="17.42578125" bestFit="1" customWidth="1"/>
    <col min="10" max="10" width="16.42578125" bestFit="1" customWidth="1"/>
    <col min="11" max="11" width="9.42578125" bestFit="1" customWidth="1"/>
    <col min="12" max="12" width="15.140625" bestFit="1" customWidth="1"/>
    <col min="13" max="13" width="19.42578125" bestFit="1" customWidth="1"/>
    <col min="14" max="14" width="21.5703125" bestFit="1" customWidth="1"/>
    <col min="15" max="15" width="14.7109375" bestFit="1" customWidth="1"/>
    <col min="16" max="16" width="12.5703125" bestFit="1" customWidth="1"/>
    <col min="17" max="17" width="12.140625" bestFit="1" customWidth="1"/>
    <col min="18" max="19" width="21.85546875" bestFit="1" customWidth="1"/>
    <col min="20" max="20" width="16" bestFit="1" customWidth="1"/>
    <col min="21" max="21" width="21" bestFit="1" customWidth="1"/>
    <col min="22" max="22" width="20.28515625" bestFit="1" customWidth="1"/>
    <col min="23" max="23" width="13.28515625" style="3" customWidth="1"/>
    <col min="24" max="24" width="11" bestFit="1" customWidth="1"/>
    <col min="25" max="25" width="12.42578125" style="3" customWidth="1"/>
    <col min="26" max="26" width="16" style="3" customWidth="1"/>
  </cols>
  <sheetData>
    <row r="1" spans="1:26" x14ac:dyDescent="0.25">
      <c r="A1" s="26" t="s">
        <v>0</v>
      </c>
      <c r="B1" s="27" t="s">
        <v>1</v>
      </c>
      <c r="C1" s="27" t="s">
        <v>2</v>
      </c>
      <c r="D1" s="27" t="s">
        <v>3</v>
      </c>
      <c r="E1" s="27" t="s">
        <v>4</v>
      </c>
      <c r="F1" s="27" t="s">
        <v>5</v>
      </c>
      <c r="G1" s="27" t="s">
        <v>6</v>
      </c>
      <c r="H1" s="27" t="s">
        <v>7</v>
      </c>
      <c r="I1" s="27" t="s">
        <v>8</v>
      </c>
      <c r="J1" s="27" t="s">
        <v>9</v>
      </c>
      <c r="K1" s="27" t="s">
        <v>10</v>
      </c>
      <c r="L1" s="27" t="s">
        <v>11</v>
      </c>
      <c r="M1" s="27" t="s">
        <v>12</v>
      </c>
      <c r="N1" s="27" t="s">
        <v>13</v>
      </c>
      <c r="O1" s="27" t="s">
        <v>14</v>
      </c>
      <c r="P1" s="27" t="s">
        <v>15</v>
      </c>
      <c r="Q1" s="27" t="s">
        <v>16</v>
      </c>
      <c r="R1" s="27" t="s">
        <v>17</v>
      </c>
      <c r="S1" s="27" t="s">
        <v>18</v>
      </c>
      <c r="T1" s="27" t="s">
        <v>19</v>
      </c>
      <c r="U1" s="27" t="s">
        <v>20</v>
      </c>
      <c r="V1" s="27" t="s">
        <v>21</v>
      </c>
      <c r="W1" s="28" t="s">
        <v>22</v>
      </c>
      <c r="X1" s="27" t="s">
        <v>23</v>
      </c>
      <c r="Y1" s="28" t="s">
        <v>24</v>
      </c>
      <c r="Z1" s="29" t="s">
        <v>25</v>
      </c>
    </row>
    <row r="2" spans="1:26" x14ac:dyDescent="0.25">
      <c r="A2" s="16">
        <v>1001</v>
      </c>
      <c r="B2" s="17">
        <v>41666</v>
      </c>
      <c r="C2" s="18">
        <v>27</v>
      </c>
      <c r="D2" s="18" t="s">
        <v>26</v>
      </c>
      <c r="E2" s="18" t="s">
        <v>27</v>
      </c>
      <c r="F2" s="18" t="s">
        <v>28</v>
      </c>
      <c r="G2" s="18" t="s">
        <v>29</v>
      </c>
      <c r="H2" s="18">
        <v>99999</v>
      </c>
      <c r="I2" s="18" t="s">
        <v>30</v>
      </c>
      <c r="J2" s="18" t="s">
        <v>31</v>
      </c>
      <c r="K2" s="18" t="s">
        <v>32</v>
      </c>
      <c r="L2" s="17">
        <v>41668</v>
      </c>
      <c r="M2" s="18" t="s">
        <v>33</v>
      </c>
      <c r="N2" s="18" t="s">
        <v>34</v>
      </c>
      <c r="O2" s="18" t="s">
        <v>27</v>
      </c>
      <c r="P2" s="18" t="s">
        <v>28</v>
      </c>
      <c r="Q2" s="18" t="s">
        <v>29</v>
      </c>
      <c r="R2" s="18">
        <v>99999</v>
      </c>
      <c r="S2" s="18" t="s">
        <v>30</v>
      </c>
      <c r="T2" s="18" t="s">
        <v>35</v>
      </c>
      <c r="U2" s="18" t="s">
        <v>36</v>
      </c>
      <c r="V2" s="18" t="s">
        <v>37</v>
      </c>
      <c r="W2" s="19">
        <v>14</v>
      </c>
      <c r="X2" s="18">
        <v>49</v>
      </c>
      <c r="Y2" s="19">
        <v>686</v>
      </c>
      <c r="Z2" s="20">
        <v>66.542000000000002</v>
      </c>
    </row>
    <row r="3" spans="1:26" x14ac:dyDescent="0.25">
      <c r="A3" s="16">
        <v>1002</v>
      </c>
      <c r="B3" s="17">
        <v>41666</v>
      </c>
      <c r="C3" s="18">
        <v>27</v>
      </c>
      <c r="D3" s="18" t="s">
        <v>26</v>
      </c>
      <c r="E3" s="18" t="s">
        <v>27</v>
      </c>
      <c r="F3" s="18" t="s">
        <v>28</v>
      </c>
      <c r="G3" s="18" t="s">
        <v>29</v>
      </c>
      <c r="H3" s="18">
        <v>99999</v>
      </c>
      <c r="I3" s="18" t="s">
        <v>30</v>
      </c>
      <c r="J3" s="18" t="s">
        <v>31</v>
      </c>
      <c r="K3" s="18" t="s">
        <v>32</v>
      </c>
      <c r="L3" s="17">
        <v>41668</v>
      </c>
      <c r="M3" s="18" t="s">
        <v>33</v>
      </c>
      <c r="N3" s="18" t="s">
        <v>34</v>
      </c>
      <c r="O3" s="18" t="s">
        <v>27</v>
      </c>
      <c r="P3" s="18" t="s">
        <v>28</v>
      </c>
      <c r="Q3" s="18" t="s">
        <v>29</v>
      </c>
      <c r="R3" s="18">
        <v>99999</v>
      </c>
      <c r="S3" s="18" t="s">
        <v>30</v>
      </c>
      <c r="T3" s="18" t="s">
        <v>35</v>
      </c>
      <c r="U3" s="18" t="s">
        <v>38</v>
      </c>
      <c r="V3" s="18" t="s">
        <v>39</v>
      </c>
      <c r="W3" s="19">
        <v>3.5</v>
      </c>
      <c r="X3" s="18">
        <v>47</v>
      </c>
      <c r="Y3" s="19">
        <v>164.5</v>
      </c>
      <c r="Z3" s="20">
        <v>16.6145</v>
      </c>
    </row>
    <row r="4" spans="1:26" x14ac:dyDescent="0.25">
      <c r="A4" s="16">
        <v>1003</v>
      </c>
      <c r="B4" s="17">
        <v>41643</v>
      </c>
      <c r="C4" s="18">
        <v>4</v>
      </c>
      <c r="D4" s="18" t="s">
        <v>40</v>
      </c>
      <c r="E4" s="18" t="s">
        <v>41</v>
      </c>
      <c r="F4" s="18" t="s">
        <v>42</v>
      </c>
      <c r="G4" s="18" t="s">
        <v>43</v>
      </c>
      <c r="H4" s="18">
        <v>99999</v>
      </c>
      <c r="I4" s="18" t="s">
        <v>30</v>
      </c>
      <c r="J4" s="18" t="s">
        <v>44</v>
      </c>
      <c r="K4" s="18" t="s">
        <v>45</v>
      </c>
      <c r="L4" s="17">
        <v>41645</v>
      </c>
      <c r="M4" s="18" t="s">
        <v>46</v>
      </c>
      <c r="N4" s="18" t="s">
        <v>47</v>
      </c>
      <c r="O4" s="18" t="s">
        <v>41</v>
      </c>
      <c r="P4" s="18" t="s">
        <v>42</v>
      </c>
      <c r="Q4" s="18" t="s">
        <v>43</v>
      </c>
      <c r="R4" s="18">
        <v>99999</v>
      </c>
      <c r="S4" s="18" t="s">
        <v>30</v>
      </c>
      <c r="T4" s="18" t="s">
        <v>48</v>
      </c>
      <c r="U4" s="18" t="s">
        <v>49</v>
      </c>
      <c r="V4" s="18" t="s">
        <v>39</v>
      </c>
      <c r="W4" s="19">
        <v>30</v>
      </c>
      <c r="X4" s="18">
        <v>69</v>
      </c>
      <c r="Y4" s="19">
        <v>2070</v>
      </c>
      <c r="Z4" s="20">
        <v>198.72</v>
      </c>
    </row>
    <row r="5" spans="1:26" x14ac:dyDescent="0.25">
      <c r="A5" s="16">
        <v>1004</v>
      </c>
      <c r="B5" s="17">
        <v>41643</v>
      </c>
      <c r="C5" s="18">
        <v>4</v>
      </c>
      <c r="D5" s="18" t="s">
        <v>40</v>
      </c>
      <c r="E5" s="18" t="s">
        <v>41</v>
      </c>
      <c r="F5" s="18" t="s">
        <v>42</v>
      </c>
      <c r="G5" s="18" t="s">
        <v>43</v>
      </c>
      <c r="H5" s="18">
        <v>99999</v>
      </c>
      <c r="I5" s="18" t="s">
        <v>30</v>
      </c>
      <c r="J5" s="18" t="s">
        <v>44</v>
      </c>
      <c r="K5" s="18" t="s">
        <v>45</v>
      </c>
      <c r="L5" s="17">
        <v>41645</v>
      </c>
      <c r="M5" s="18" t="s">
        <v>46</v>
      </c>
      <c r="N5" s="18" t="s">
        <v>47</v>
      </c>
      <c r="O5" s="18" t="s">
        <v>41</v>
      </c>
      <c r="P5" s="18" t="s">
        <v>42</v>
      </c>
      <c r="Q5" s="18" t="s">
        <v>43</v>
      </c>
      <c r="R5" s="18">
        <v>99999</v>
      </c>
      <c r="S5" s="18" t="s">
        <v>30</v>
      </c>
      <c r="T5" s="18" t="s">
        <v>48</v>
      </c>
      <c r="U5" s="18" t="s">
        <v>50</v>
      </c>
      <c r="V5" s="18" t="s">
        <v>39</v>
      </c>
      <c r="W5" s="19">
        <v>53</v>
      </c>
      <c r="X5" s="18">
        <v>89</v>
      </c>
      <c r="Y5" s="19">
        <v>4717</v>
      </c>
      <c r="Z5" s="20">
        <v>448.11500000000001</v>
      </c>
    </row>
    <row r="6" spans="1:26" x14ac:dyDescent="0.25">
      <c r="A6" s="16">
        <v>1005</v>
      </c>
      <c r="B6" s="17">
        <v>41643</v>
      </c>
      <c r="C6" s="18">
        <v>4</v>
      </c>
      <c r="D6" s="18" t="s">
        <v>40</v>
      </c>
      <c r="E6" s="18" t="s">
        <v>41</v>
      </c>
      <c r="F6" s="18" t="s">
        <v>42</v>
      </c>
      <c r="G6" s="18" t="s">
        <v>43</v>
      </c>
      <c r="H6" s="18">
        <v>99999</v>
      </c>
      <c r="I6" s="18" t="s">
        <v>30</v>
      </c>
      <c r="J6" s="18" t="s">
        <v>44</v>
      </c>
      <c r="K6" s="18" t="s">
        <v>45</v>
      </c>
      <c r="L6" s="17">
        <v>41645</v>
      </c>
      <c r="M6" s="18" t="s">
        <v>46</v>
      </c>
      <c r="N6" s="18" t="s">
        <v>47</v>
      </c>
      <c r="O6" s="18" t="s">
        <v>41</v>
      </c>
      <c r="P6" s="18" t="s">
        <v>42</v>
      </c>
      <c r="Q6" s="18" t="s">
        <v>43</v>
      </c>
      <c r="R6" s="18">
        <v>99999</v>
      </c>
      <c r="S6" s="18" t="s">
        <v>30</v>
      </c>
      <c r="T6" s="18" t="s">
        <v>48</v>
      </c>
      <c r="U6" s="18" t="s">
        <v>38</v>
      </c>
      <c r="V6" s="18" t="s">
        <v>39</v>
      </c>
      <c r="W6" s="19">
        <v>3.5</v>
      </c>
      <c r="X6" s="18">
        <v>11</v>
      </c>
      <c r="Y6" s="19">
        <v>38.5</v>
      </c>
      <c r="Z6" s="20">
        <v>3.7345000000000002</v>
      </c>
    </row>
    <row r="7" spans="1:26" x14ac:dyDescent="0.25">
      <c r="A7" s="16">
        <v>1006</v>
      </c>
      <c r="B7" s="17">
        <v>41651</v>
      </c>
      <c r="C7" s="18">
        <v>12</v>
      </c>
      <c r="D7" s="18" t="s">
        <v>51</v>
      </c>
      <c r="E7" s="18" t="s">
        <v>52</v>
      </c>
      <c r="F7" s="18" t="s">
        <v>28</v>
      </c>
      <c r="G7" s="18" t="s">
        <v>29</v>
      </c>
      <c r="H7" s="18">
        <v>99999</v>
      </c>
      <c r="I7" s="18" t="s">
        <v>30</v>
      </c>
      <c r="J7" s="18" t="s">
        <v>31</v>
      </c>
      <c r="K7" s="18" t="s">
        <v>32</v>
      </c>
      <c r="L7" s="17">
        <v>41653</v>
      </c>
      <c r="M7" s="18" t="s">
        <v>33</v>
      </c>
      <c r="N7" s="18" t="s">
        <v>53</v>
      </c>
      <c r="O7" s="18" t="s">
        <v>52</v>
      </c>
      <c r="P7" s="18" t="s">
        <v>28</v>
      </c>
      <c r="Q7" s="18" t="s">
        <v>29</v>
      </c>
      <c r="R7" s="18">
        <v>99999</v>
      </c>
      <c r="S7" s="18" t="s">
        <v>30</v>
      </c>
      <c r="T7" s="18" t="s">
        <v>48</v>
      </c>
      <c r="U7" s="18" t="s">
        <v>54</v>
      </c>
      <c r="V7" s="18" t="s">
        <v>37</v>
      </c>
      <c r="W7" s="19">
        <v>18</v>
      </c>
      <c r="X7" s="18">
        <v>81</v>
      </c>
      <c r="Y7" s="19">
        <v>1458</v>
      </c>
      <c r="Z7" s="20">
        <v>141.42600000000002</v>
      </c>
    </row>
    <row r="8" spans="1:26" x14ac:dyDescent="0.25">
      <c r="A8" s="16">
        <v>1007</v>
      </c>
      <c r="B8" s="17">
        <v>41651</v>
      </c>
      <c r="C8" s="18">
        <v>12</v>
      </c>
      <c r="D8" s="18" t="s">
        <v>51</v>
      </c>
      <c r="E8" s="18" t="s">
        <v>52</v>
      </c>
      <c r="F8" s="18" t="s">
        <v>28</v>
      </c>
      <c r="G8" s="18" t="s">
        <v>29</v>
      </c>
      <c r="H8" s="18">
        <v>99999</v>
      </c>
      <c r="I8" s="18" t="s">
        <v>30</v>
      </c>
      <c r="J8" s="18" t="s">
        <v>31</v>
      </c>
      <c r="K8" s="18" t="s">
        <v>32</v>
      </c>
      <c r="L8" s="17">
        <v>41653</v>
      </c>
      <c r="M8" s="18" t="s">
        <v>33</v>
      </c>
      <c r="N8" s="18" t="s">
        <v>53</v>
      </c>
      <c r="O8" s="18" t="s">
        <v>52</v>
      </c>
      <c r="P8" s="18" t="s">
        <v>28</v>
      </c>
      <c r="Q8" s="18" t="s">
        <v>29</v>
      </c>
      <c r="R8" s="18">
        <v>99999</v>
      </c>
      <c r="S8" s="18" t="s">
        <v>30</v>
      </c>
      <c r="T8" s="18" t="s">
        <v>48</v>
      </c>
      <c r="U8" s="18" t="s">
        <v>55</v>
      </c>
      <c r="V8" s="18" t="s">
        <v>37</v>
      </c>
      <c r="W8" s="19">
        <v>46</v>
      </c>
      <c r="X8" s="18">
        <v>44</v>
      </c>
      <c r="Y8" s="19">
        <v>2024</v>
      </c>
      <c r="Z8" s="20">
        <v>198.352</v>
      </c>
    </row>
    <row r="9" spans="1:26" x14ac:dyDescent="0.25">
      <c r="A9" s="16">
        <v>1008</v>
      </c>
      <c r="B9" s="17">
        <v>41647</v>
      </c>
      <c r="C9" s="18">
        <v>8</v>
      </c>
      <c r="D9" s="18" t="s">
        <v>56</v>
      </c>
      <c r="E9" s="18" t="s">
        <v>57</v>
      </c>
      <c r="F9" s="18" t="s">
        <v>58</v>
      </c>
      <c r="G9" s="18" t="s">
        <v>59</v>
      </c>
      <c r="H9" s="18">
        <v>99999</v>
      </c>
      <c r="I9" s="18" t="s">
        <v>30</v>
      </c>
      <c r="J9" s="18" t="s">
        <v>60</v>
      </c>
      <c r="K9" s="18" t="s">
        <v>61</v>
      </c>
      <c r="L9" s="17">
        <v>41649</v>
      </c>
      <c r="M9" s="18" t="s">
        <v>62</v>
      </c>
      <c r="N9" s="18" t="s">
        <v>63</v>
      </c>
      <c r="O9" s="18" t="s">
        <v>57</v>
      </c>
      <c r="P9" s="18" t="s">
        <v>58</v>
      </c>
      <c r="Q9" s="18" t="s">
        <v>59</v>
      </c>
      <c r="R9" s="18">
        <v>99999</v>
      </c>
      <c r="S9" s="18" t="s">
        <v>30</v>
      </c>
      <c r="T9" s="18" t="s">
        <v>48</v>
      </c>
      <c r="U9" s="18" t="s">
        <v>64</v>
      </c>
      <c r="V9" s="18" t="s">
        <v>65</v>
      </c>
      <c r="W9" s="19">
        <v>9.1999999999999993</v>
      </c>
      <c r="X9" s="18">
        <v>38</v>
      </c>
      <c r="Y9" s="19">
        <v>349.59999999999997</v>
      </c>
      <c r="Z9" s="20">
        <v>36.008800000000001</v>
      </c>
    </row>
    <row r="10" spans="1:26" x14ac:dyDescent="0.25">
      <c r="A10" s="16">
        <v>1009</v>
      </c>
      <c r="B10" s="17">
        <v>41643</v>
      </c>
      <c r="C10" s="18">
        <v>4</v>
      </c>
      <c r="D10" s="18" t="s">
        <v>40</v>
      </c>
      <c r="E10" s="18" t="s">
        <v>41</v>
      </c>
      <c r="F10" s="18" t="s">
        <v>42</v>
      </c>
      <c r="G10" s="18" t="s">
        <v>43</v>
      </c>
      <c r="H10" s="18">
        <v>99999</v>
      </c>
      <c r="I10" s="18" t="s">
        <v>30</v>
      </c>
      <c r="J10" s="18" t="s">
        <v>44</v>
      </c>
      <c r="K10" s="18" t="s">
        <v>45</v>
      </c>
      <c r="L10" s="17">
        <v>41645</v>
      </c>
      <c r="M10" s="18" t="s">
        <v>62</v>
      </c>
      <c r="N10" s="18" t="s">
        <v>47</v>
      </c>
      <c r="O10" s="18" t="s">
        <v>41</v>
      </c>
      <c r="P10" s="18" t="s">
        <v>42</v>
      </c>
      <c r="Q10" s="18" t="s">
        <v>43</v>
      </c>
      <c r="R10" s="18">
        <v>99999</v>
      </c>
      <c r="S10" s="18" t="s">
        <v>30</v>
      </c>
      <c r="T10" s="18" t="s">
        <v>35</v>
      </c>
      <c r="U10" s="18" t="s">
        <v>64</v>
      </c>
      <c r="V10" s="18" t="s">
        <v>65</v>
      </c>
      <c r="W10" s="19">
        <v>9.1999999999999993</v>
      </c>
      <c r="X10" s="18">
        <v>88</v>
      </c>
      <c r="Y10" s="19">
        <v>809.59999999999991</v>
      </c>
      <c r="Z10" s="20">
        <v>79.340799999999987</v>
      </c>
    </row>
    <row r="11" spans="1:26" x14ac:dyDescent="0.25">
      <c r="A11" s="16">
        <v>1010</v>
      </c>
      <c r="B11" s="17">
        <v>41668</v>
      </c>
      <c r="C11" s="18">
        <v>29</v>
      </c>
      <c r="D11" s="18" t="s">
        <v>66</v>
      </c>
      <c r="E11" s="18" t="s">
        <v>67</v>
      </c>
      <c r="F11" s="18" t="s">
        <v>68</v>
      </c>
      <c r="G11" s="18" t="s">
        <v>69</v>
      </c>
      <c r="H11" s="18">
        <v>99999</v>
      </c>
      <c r="I11" s="18" t="s">
        <v>30</v>
      </c>
      <c r="J11" s="18" t="s">
        <v>70</v>
      </c>
      <c r="K11" s="18" t="s">
        <v>32</v>
      </c>
      <c r="L11" s="17">
        <v>41670</v>
      </c>
      <c r="M11" s="18" t="s">
        <v>33</v>
      </c>
      <c r="N11" s="18" t="s">
        <v>71</v>
      </c>
      <c r="O11" s="18" t="s">
        <v>67</v>
      </c>
      <c r="P11" s="18" t="s">
        <v>68</v>
      </c>
      <c r="Q11" s="18" t="s">
        <v>69</v>
      </c>
      <c r="R11" s="18">
        <v>99999</v>
      </c>
      <c r="S11" s="18" t="s">
        <v>30</v>
      </c>
      <c r="T11" s="18" t="s">
        <v>35</v>
      </c>
      <c r="U11" s="18" t="s">
        <v>72</v>
      </c>
      <c r="V11" s="18" t="s">
        <v>73</v>
      </c>
      <c r="W11" s="19">
        <v>12.75</v>
      </c>
      <c r="X11" s="18">
        <v>94</v>
      </c>
      <c r="Y11" s="19">
        <v>1198.5</v>
      </c>
      <c r="Z11" s="20">
        <v>122.24700000000001</v>
      </c>
    </row>
    <row r="12" spans="1:26" x14ac:dyDescent="0.25">
      <c r="A12" s="16">
        <v>1011</v>
      </c>
      <c r="B12" s="17">
        <v>41642</v>
      </c>
      <c r="C12" s="18">
        <v>3</v>
      </c>
      <c r="D12" s="18" t="s">
        <v>74</v>
      </c>
      <c r="E12" s="18" t="s">
        <v>75</v>
      </c>
      <c r="F12" s="18" t="s">
        <v>76</v>
      </c>
      <c r="G12" s="18" t="s">
        <v>77</v>
      </c>
      <c r="H12" s="18">
        <v>99999</v>
      </c>
      <c r="I12" s="18" t="s">
        <v>30</v>
      </c>
      <c r="J12" s="18" t="s">
        <v>31</v>
      </c>
      <c r="K12" s="18" t="s">
        <v>32</v>
      </c>
      <c r="L12" s="17">
        <v>41644</v>
      </c>
      <c r="M12" s="18" t="s">
        <v>33</v>
      </c>
      <c r="N12" s="18" t="s">
        <v>78</v>
      </c>
      <c r="O12" s="18" t="s">
        <v>75</v>
      </c>
      <c r="P12" s="18" t="s">
        <v>76</v>
      </c>
      <c r="Q12" s="18" t="s">
        <v>77</v>
      </c>
      <c r="R12" s="18">
        <v>99999</v>
      </c>
      <c r="S12" s="18" t="s">
        <v>30</v>
      </c>
      <c r="T12" s="18" t="s">
        <v>79</v>
      </c>
      <c r="U12" s="18" t="s">
        <v>80</v>
      </c>
      <c r="V12" s="18" t="s">
        <v>81</v>
      </c>
      <c r="W12" s="19">
        <v>9.65</v>
      </c>
      <c r="X12" s="18">
        <v>91</v>
      </c>
      <c r="Y12" s="19">
        <v>878.15</v>
      </c>
      <c r="Z12" s="20">
        <v>92.205749999999995</v>
      </c>
    </row>
    <row r="13" spans="1:26" x14ac:dyDescent="0.25">
      <c r="A13" s="16">
        <v>1012</v>
      </c>
      <c r="B13" s="17">
        <v>41645</v>
      </c>
      <c r="C13" s="18">
        <v>6</v>
      </c>
      <c r="D13" s="18" t="s">
        <v>82</v>
      </c>
      <c r="E13" s="18" t="s">
        <v>83</v>
      </c>
      <c r="F13" s="18" t="s">
        <v>84</v>
      </c>
      <c r="G13" s="18" t="s">
        <v>85</v>
      </c>
      <c r="H13" s="18">
        <v>99999</v>
      </c>
      <c r="I13" s="18" t="s">
        <v>30</v>
      </c>
      <c r="J13" s="18" t="s">
        <v>86</v>
      </c>
      <c r="K13" s="18" t="s">
        <v>61</v>
      </c>
      <c r="L13" s="17">
        <v>41647</v>
      </c>
      <c r="M13" s="18" t="s">
        <v>33</v>
      </c>
      <c r="N13" s="18" t="s">
        <v>87</v>
      </c>
      <c r="O13" s="18" t="s">
        <v>83</v>
      </c>
      <c r="P13" s="18" t="s">
        <v>84</v>
      </c>
      <c r="Q13" s="18" t="s">
        <v>85</v>
      </c>
      <c r="R13" s="18">
        <v>99999</v>
      </c>
      <c r="S13" s="18" t="s">
        <v>30</v>
      </c>
      <c r="T13" s="18" t="s">
        <v>48</v>
      </c>
      <c r="U13" s="18" t="s">
        <v>88</v>
      </c>
      <c r="V13" s="18" t="s">
        <v>89</v>
      </c>
      <c r="W13" s="19">
        <v>40</v>
      </c>
      <c r="X13" s="18">
        <v>32</v>
      </c>
      <c r="Y13" s="19">
        <v>1280</v>
      </c>
      <c r="Z13" s="20">
        <v>133.12</v>
      </c>
    </row>
    <row r="14" spans="1:26" x14ac:dyDescent="0.25">
      <c r="A14" s="16">
        <v>1013</v>
      </c>
      <c r="B14" s="17">
        <v>41667</v>
      </c>
      <c r="C14" s="18">
        <v>28</v>
      </c>
      <c r="D14" s="18" t="s">
        <v>90</v>
      </c>
      <c r="E14" s="18" t="s">
        <v>91</v>
      </c>
      <c r="F14" s="18" t="s">
        <v>92</v>
      </c>
      <c r="G14" s="18" t="s">
        <v>93</v>
      </c>
      <c r="H14" s="18">
        <v>99999</v>
      </c>
      <c r="I14" s="18" t="s">
        <v>30</v>
      </c>
      <c r="J14" s="18" t="s">
        <v>94</v>
      </c>
      <c r="K14" s="18" t="s">
        <v>95</v>
      </c>
      <c r="L14" s="17">
        <v>41669</v>
      </c>
      <c r="M14" s="18" t="s">
        <v>62</v>
      </c>
      <c r="N14" s="18" t="s">
        <v>96</v>
      </c>
      <c r="O14" s="18" t="s">
        <v>91</v>
      </c>
      <c r="P14" s="18" t="s">
        <v>92</v>
      </c>
      <c r="Q14" s="18" t="s">
        <v>93</v>
      </c>
      <c r="R14" s="18">
        <v>99999</v>
      </c>
      <c r="S14" s="18" t="s">
        <v>30</v>
      </c>
      <c r="T14" s="18" t="s">
        <v>35</v>
      </c>
      <c r="U14" s="18" t="s">
        <v>55</v>
      </c>
      <c r="V14" s="18" t="s">
        <v>37</v>
      </c>
      <c r="W14" s="19">
        <v>46</v>
      </c>
      <c r="X14" s="18">
        <v>55</v>
      </c>
      <c r="Y14" s="19">
        <v>2530</v>
      </c>
      <c r="Z14" s="20">
        <v>253</v>
      </c>
    </row>
    <row r="15" spans="1:26" x14ac:dyDescent="0.25">
      <c r="A15" s="16">
        <v>1014</v>
      </c>
      <c r="B15" s="17">
        <v>41647</v>
      </c>
      <c r="C15" s="18">
        <v>8</v>
      </c>
      <c r="D15" s="18" t="s">
        <v>56</v>
      </c>
      <c r="E15" s="18" t="s">
        <v>57</v>
      </c>
      <c r="F15" s="18" t="s">
        <v>58</v>
      </c>
      <c r="G15" s="18" t="s">
        <v>59</v>
      </c>
      <c r="H15" s="18">
        <v>99999</v>
      </c>
      <c r="I15" s="18" t="s">
        <v>30</v>
      </c>
      <c r="J15" s="18" t="s">
        <v>60</v>
      </c>
      <c r="K15" s="18" t="s">
        <v>61</v>
      </c>
      <c r="L15" s="17">
        <v>41649</v>
      </c>
      <c r="M15" s="18" t="s">
        <v>62</v>
      </c>
      <c r="N15" s="18" t="s">
        <v>63</v>
      </c>
      <c r="O15" s="18" t="s">
        <v>57</v>
      </c>
      <c r="P15" s="18" t="s">
        <v>58</v>
      </c>
      <c r="Q15" s="18" t="s">
        <v>59</v>
      </c>
      <c r="R15" s="18">
        <v>99999</v>
      </c>
      <c r="S15" s="18" t="s">
        <v>30</v>
      </c>
      <c r="T15" s="18" t="s">
        <v>35</v>
      </c>
      <c r="U15" s="18" t="s">
        <v>72</v>
      </c>
      <c r="V15" s="18" t="s">
        <v>73</v>
      </c>
      <c r="W15" s="19">
        <v>12.75</v>
      </c>
      <c r="X15" s="18">
        <v>47</v>
      </c>
      <c r="Y15" s="19">
        <v>599.25</v>
      </c>
      <c r="Z15" s="20">
        <v>61.722750000000005</v>
      </c>
    </row>
    <row r="16" spans="1:26" x14ac:dyDescent="0.25">
      <c r="A16" s="16">
        <v>1015</v>
      </c>
      <c r="B16" s="17">
        <v>41649</v>
      </c>
      <c r="C16" s="18">
        <v>10</v>
      </c>
      <c r="D16" s="18" t="s">
        <v>97</v>
      </c>
      <c r="E16" s="18" t="s">
        <v>98</v>
      </c>
      <c r="F16" s="18" t="s">
        <v>99</v>
      </c>
      <c r="G16" s="18" t="s">
        <v>100</v>
      </c>
      <c r="H16" s="18">
        <v>99999</v>
      </c>
      <c r="I16" s="18" t="s">
        <v>30</v>
      </c>
      <c r="J16" s="18" t="s">
        <v>101</v>
      </c>
      <c r="K16" s="18" t="s">
        <v>45</v>
      </c>
      <c r="L16" s="17">
        <v>41651</v>
      </c>
      <c r="M16" s="18" t="s">
        <v>33</v>
      </c>
      <c r="N16" s="18" t="s">
        <v>102</v>
      </c>
      <c r="O16" s="18" t="s">
        <v>98</v>
      </c>
      <c r="P16" s="18" t="s">
        <v>99</v>
      </c>
      <c r="Q16" s="18" t="s">
        <v>100</v>
      </c>
      <c r="R16" s="18">
        <v>99999</v>
      </c>
      <c r="S16" s="18" t="s">
        <v>30</v>
      </c>
      <c r="T16" s="18" t="s">
        <v>48</v>
      </c>
      <c r="U16" s="18" t="s">
        <v>103</v>
      </c>
      <c r="V16" s="18" t="s">
        <v>37</v>
      </c>
      <c r="W16" s="19">
        <v>2.99</v>
      </c>
      <c r="X16" s="18">
        <v>90</v>
      </c>
      <c r="Y16" s="19">
        <v>269.10000000000002</v>
      </c>
      <c r="Z16" s="20">
        <v>27.717300000000005</v>
      </c>
    </row>
    <row r="17" spans="1:26" x14ac:dyDescent="0.25">
      <c r="A17" s="16">
        <v>1016</v>
      </c>
      <c r="B17" s="17">
        <v>41646</v>
      </c>
      <c r="C17" s="18">
        <v>7</v>
      </c>
      <c r="D17" s="18" t="s">
        <v>104</v>
      </c>
      <c r="E17" s="18" t="s">
        <v>105</v>
      </c>
      <c r="F17" s="18" t="s">
        <v>106</v>
      </c>
      <c r="G17" s="18" t="s">
        <v>107</v>
      </c>
      <c r="H17" s="18">
        <v>99999</v>
      </c>
      <c r="I17" s="18" t="s">
        <v>30</v>
      </c>
      <c r="J17" s="18" t="s">
        <v>60</v>
      </c>
      <c r="K17" s="18" t="s">
        <v>61</v>
      </c>
      <c r="L17" s="18"/>
      <c r="M17" s="18"/>
      <c r="N17" s="18" t="s">
        <v>108</v>
      </c>
      <c r="O17" s="18" t="s">
        <v>105</v>
      </c>
      <c r="P17" s="18" t="s">
        <v>106</v>
      </c>
      <c r="Q17" s="18" t="s">
        <v>107</v>
      </c>
      <c r="R17" s="18">
        <v>99999</v>
      </c>
      <c r="S17" s="18" t="s">
        <v>30</v>
      </c>
      <c r="T17" s="18"/>
      <c r="U17" s="18" t="s">
        <v>55</v>
      </c>
      <c r="V17" s="18" t="s">
        <v>37</v>
      </c>
      <c r="W17" s="19">
        <v>46</v>
      </c>
      <c r="X17" s="18">
        <v>24</v>
      </c>
      <c r="Y17" s="19">
        <v>1104</v>
      </c>
      <c r="Z17" s="20">
        <v>110.4</v>
      </c>
    </row>
    <row r="18" spans="1:26" x14ac:dyDescent="0.25">
      <c r="A18" s="16">
        <v>1017</v>
      </c>
      <c r="B18" s="17">
        <v>41649</v>
      </c>
      <c r="C18" s="18">
        <v>10</v>
      </c>
      <c r="D18" s="18" t="s">
        <v>97</v>
      </c>
      <c r="E18" s="18" t="s">
        <v>98</v>
      </c>
      <c r="F18" s="18" t="s">
        <v>99</v>
      </c>
      <c r="G18" s="18" t="s">
        <v>100</v>
      </c>
      <c r="H18" s="18">
        <v>99999</v>
      </c>
      <c r="I18" s="18" t="s">
        <v>30</v>
      </c>
      <c r="J18" s="18" t="s">
        <v>101</v>
      </c>
      <c r="K18" s="18" t="s">
        <v>45</v>
      </c>
      <c r="L18" s="17">
        <v>41651</v>
      </c>
      <c r="M18" s="18" t="s">
        <v>46</v>
      </c>
      <c r="N18" s="18" t="s">
        <v>102</v>
      </c>
      <c r="O18" s="18" t="s">
        <v>98</v>
      </c>
      <c r="P18" s="18" t="s">
        <v>99</v>
      </c>
      <c r="Q18" s="18" t="s">
        <v>100</v>
      </c>
      <c r="R18" s="18">
        <v>99999</v>
      </c>
      <c r="S18" s="18" t="s">
        <v>30</v>
      </c>
      <c r="T18" s="18"/>
      <c r="U18" s="18" t="s">
        <v>109</v>
      </c>
      <c r="V18" s="18" t="s">
        <v>110</v>
      </c>
      <c r="W18" s="19">
        <v>25</v>
      </c>
      <c r="X18" s="18">
        <v>34</v>
      </c>
      <c r="Y18" s="19">
        <v>850</v>
      </c>
      <c r="Z18" s="20">
        <v>80.75</v>
      </c>
    </row>
    <row r="19" spans="1:26" x14ac:dyDescent="0.25">
      <c r="A19" s="16">
        <v>1018</v>
      </c>
      <c r="B19" s="17">
        <v>41649</v>
      </c>
      <c r="C19" s="18">
        <v>10</v>
      </c>
      <c r="D19" s="18" t="s">
        <v>97</v>
      </c>
      <c r="E19" s="18" t="s">
        <v>98</v>
      </c>
      <c r="F19" s="18" t="s">
        <v>99</v>
      </c>
      <c r="G19" s="18" t="s">
        <v>100</v>
      </c>
      <c r="H19" s="18">
        <v>99999</v>
      </c>
      <c r="I19" s="18" t="s">
        <v>30</v>
      </c>
      <c r="J19" s="18" t="s">
        <v>101</v>
      </c>
      <c r="K19" s="18" t="s">
        <v>45</v>
      </c>
      <c r="L19" s="17">
        <v>41651</v>
      </c>
      <c r="M19" s="18" t="s">
        <v>46</v>
      </c>
      <c r="N19" s="18" t="s">
        <v>102</v>
      </c>
      <c r="O19" s="18" t="s">
        <v>98</v>
      </c>
      <c r="P19" s="18" t="s">
        <v>99</v>
      </c>
      <c r="Q19" s="18" t="s">
        <v>100</v>
      </c>
      <c r="R19" s="18">
        <v>99999</v>
      </c>
      <c r="S19" s="18" t="s">
        <v>30</v>
      </c>
      <c r="T19" s="18"/>
      <c r="U19" s="18" t="s">
        <v>111</v>
      </c>
      <c r="V19" s="18" t="s">
        <v>112</v>
      </c>
      <c r="W19" s="19">
        <v>22</v>
      </c>
      <c r="X19" s="18">
        <v>17</v>
      </c>
      <c r="Y19" s="19">
        <v>374</v>
      </c>
      <c r="Z19" s="20">
        <v>35.903999999999996</v>
      </c>
    </row>
    <row r="20" spans="1:26" x14ac:dyDescent="0.25">
      <c r="A20" s="16">
        <v>1019</v>
      </c>
      <c r="B20" s="17">
        <v>41649</v>
      </c>
      <c r="C20" s="18">
        <v>10</v>
      </c>
      <c r="D20" s="18" t="s">
        <v>97</v>
      </c>
      <c r="E20" s="18" t="s">
        <v>98</v>
      </c>
      <c r="F20" s="18" t="s">
        <v>99</v>
      </c>
      <c r="G20" s="18" t="s">
        <v>100</v>
      </c>
      <c r="H20" s="18">
        <v>99999</v>
      </c>
      <c r="I20" s="18" t="s">
        <v>30</v>
      </c>
      <c r="J20" s="18" t="s">
        <v>101</v>
      </c>
      <c r="K20" s="18" t="s">
        <v>45</v>
      </c>
      <c r="L20" s="17">
        <v>41651</v>
      </c>
      <c r="M20" s="18" t="s">
        <v>46</v>
      </c>
      <c r="N20" s="18" t="s">
        <v>102</v>
      </c>
      <c r="O20" s="18" t="s">
        <v>98</v>
      </c>
      <c r="P20" s="18" t="s">
        <v>99</v>
      </c>
      <c r="Q20" s="18" t="s">
        <v>100</v>
      </c>
      <c r="R20" s="18">
        <v>99999</v>
      </c>
      <c r="S20" s="18" t="s">
        <v>30</v>
      </c>
      <c r="T20" s="18"/>
      <c r="U20" s="18" t="s">
        <v>64</v>
      </c>
      <c r="V20" s="18" t="s">
        <v>65</v>
      </c>
      <c r="W20" s="19">
        <v>9.1999999999999993</v>
      </c>
      <c r="X20" s="18">
        <v>44</v>
      </c>
      <c r="Y20" s="19">
        <v>404.79999999999995</v>
      </c>
      <c r="Z20" s="20">
        <v>42.099199999999996</v>
      </c>
    </row>
    <row r="21" spans="1:26" x14ac:dyDescent="0.25">
      <c r="A21" s="16">
        <v>1020</v>
      </c>
      <c r="B21" s="17">
        <v>41650</v>
      </c>
      <c r="C21" s="18">
        <v>11</v>
      </c>
      <c r="D21" s="18" t="s">
        <v>113</v>
      </c>
      <c r="E21" s="18" t="s">
        <v>114</v>
      </c>
      <c r="F21" s="18" t="s">
        <v>115</v>
      </c>
      <c r="G21" s="18" t="s">
        <v>116</v>
      </c>
      <c r="H21" s="18">
        <v>99999</v>
      </c>
      <c r="I21" s="18" t="s">
        <v>30</v>
      </c>
      <c r="J21" s="18" t="s">
        <v>94</v>
      </c>
      <c r="K21" s="18" t="s">
        <v>95</v>
      </c>
      <c r="L21" s="18"/>
      <c r="M21" s="18" t="s">
        <v>62</v>
      </c>
      <c r="N21" s="18" t="s">
        <v>117</v>
      </c>
      <c r="O21" s="18" t="s">
        <v>114</v>
      </c>
      <c r="P21" s="18" t="s">
        <v>115</v>
      </c>
      <c r="Q21" s="18" t="s">
        <v>116</v>
      </c>
      <c r="R21" s="18">
        <v>99999</v>
      </c>
      <c r="S21" s="18" t="s">
        <v>30</v>
      </c>
      <c r="T21" s="18"/>
      <c r="U21" s="18" t="s">
        <v>38</v>
      </c>
      <c r="V21" s="18" t="s">
        <v>39</v>
      </c>
      <c r="W21" s="19">
        <v>3.5</v>
      </c>
      <c r="X21" s="18">
        <v>81</v>
      </c>
      <c r="Y21" s="19">
        <v>283.5</v>
      </c>
      <c r="Z21" s="20">
        <v>27.499500000000001</v>
      </c>
    </row>
    <row r="22" spans="1:26" x14ac:dyDescent="0.25">
      <c r="A22" s="16">
        <v>1021</v>
      </c>
      <c r="B22" s="17">
        <v>41650</v>
      </c>
      <c r="C22" s="18">
        <v>11</v>
      </c>
      <c r="D22" s="18" t="s">
        <v>113</v>
      </c>
      <c r="E22" s="18" t="s">
        <v>114</v>
      </c>
      <c r="F22" s="18" t="s">
        <v>115</v>
      </c>
      <c r="G22" s="18" t="s">
        <v>116</v>
      </c>
      <c r="H22" s="18">
        <v>99999</v>
      </c>
      <c r="I22" s="18" t="s">
        <v>30</v>
      </c>
      <c r="J22" s="18" t="s">
        <v>94</v>
      </c>
      <c r="K22" s="18" t="s">
        <v>95</v>
      </c>
      <c r="L22" s="18"/>
      <c r="M22" s="18" t="s">
        <v>62</v>
      </c>
      <c r="N22" s="18" t="s">
        <v>117</v>
      </c>
      <c r="O22" s="18" t="s">
        <v>114</v>
      </c>
      <c r="P22" s="18" t="s">
        <v>115</v>
      </c>
      <c r="Q22" s="18" t="s">
        <v>116</v>
      </c>
      <c r="R22" s="18">
        <v>99999</v>
      </c>
      <c r="S22" s="18" t="s">
        <v>30</v>
      </c>
      <c r="T22" s="18"/>
      <c r="U22" s="18" t="s">
        <v>103</v>
      </c>
      <c r="V22" s="18" t="s">
        <v>37</v>
      </c>
      <c r="W22" s="19">
        <v>2.99</v>
      </c>
      <c r="X22" s="18">
        <v>49</v>
      </c>
      <c r="Y22" s="19">
        <v>146.51000000000002</v>
      </c>
      <c r="Z22" s="20">
        <v>15.090530000000005</v>
      </c>
    </row>
    <row r="23" spans="1:26" x14ac:dyDescent="0.25">
      <c r="A23" s="16">
        <v>1022</v>
      </c>
      <c r="B23" s="17">
        <v>41640</v>
      </c>
      <c r="C23" s="18">
        <v>1</v>
      </c>
      <c r="D23" s="18" t="s">
        <v>118</v>
      </c>
      <c r="E23" s="18" t="s">
        <v>119</v>
      </c>
      <c r="F23" s="18" t="s">
        <v>120</v>
      </c>
      <c r="G23" s="18" t="s">
        <v>121</v>
      </c>
      <c r="H23" s="18">
        <v>99999</v>
      </c>
      <c r="I23" s="18" t="s">
        <v>30</v>
      </c>
      <c r="J23" s="18" t="s">
        <v>60</v>
      </c>
      <c r="K23" s="18" t="s">
        <v>61</v>
      </c>
      <c r="L23" s="18"/>
      <c r="M23" s="18"/>
      <c r="N23" s="18" t="s">
        <v>122</v>
      </c>
      <c r="O23" s="18" t="s">
        <v>119</v>
      </c>
      <c r="P23" s="18" t="s">
        <v>120</v>
      </c>
      <c r="Q23" s="18" t="s">
        <v>121</v>
      </c>
      <c r="R23" s="18">
        <v>99999</v>
      </c>
      <c r="S23" s="18" t="s">
        <v>30</v>
      </c>
      <c r="T23" s="18"/>
      <c r="U23" s="18" t="s">
        <v>54</v>
      </c>
      <c r="V23" s="18" t="s">
        <v>37</v>
      </c>
      <c r="W23" s="19">
        <v>18</v>
      </c>
      <c r="X23" s="18">
        <v>42</v>
      </c>
      <c r="Y23" s="19">
        <v>756</v>
      </c>
      <c r="Z23" s="20">
        <v>75.600000000000009</v>
      </c>
    </row>
    <row r="24" spans="1:26" x14ac:dyDescent="0.25">
      <c r="A24" s="16">
        <v>1023</v>
      </c>
      <c r="B24" s="17">
        <v>41640</v>
      </c>
      <c r="C24" s="18">
        <v>1</v>
      </c>
      <c r="D24" s="18" t="s">
        <v>118</v>
      </c>
      <c r="E24" s="18" t="s">
        <v>119</v>
      </c>
      <c r="F24" s="18" t="s">
        <v>120</v>
      </c>
      <c r="G24" s="18" t="s">
        <v>121</v>
      </c>
      <c r="H24" s="18">
        <v>99999</v>
      </c>
      <c r="I24" s="18" t="s">
        <v>30</v>
      </c>
      <c r="J24" s="18" t="s">
        <v>60</v>
      </c>
      <c r="K24" s="18" t="s">
        <v>61</v>
      </c>
      <c r="L24" s="18"/>
      <c r="M24" s="18"/>
      <c r="N24" s="18" t="s">
        <v>122</v>
      </c>
      <c r="O24" s="18" t="s">
        <v>119</v>
      </c>
      <c r="P24" s="18" t="s">
        <v>120</v>
      </c>
      <c r="Q24" s="18" t="s">
        <v>121</v>
      </c>
      <c r="R24" s="18">
        <v>99999</v>
      </c>
      <c r="S24" s="18" t="s">
        <v>30</v>
      </c>
      <c r="T24" s="18"/>
      <c r="U24" s="18" t="s">
        <v>55</v>
      </c>
      <c r="V24" s="18" t="s">
        <v>37</v>
      </c>
      <c r="W24" s="19">
        <v>46</v>
      </c>
      <c r="X24" s="18">
        <v>58</v>
      </c>
      <c r="Y24" s="19">
        <v>2668</v>
      </c>
      <c r="Z24" s="20">
        <v>269.46800000000002</v>
      </c>
    </row>
    <row r="25" spans="1:26" x14ac:dyDescent="0.25">
      <c r="A25" s="16">
        <v>1024</v>
      </c>
      <c r="B25" s="17">
        <v>41640</v>
      </c>
      <c r="C25" s="18">
        <v>1</v>
      </c>
      <c r="D25" s="18" t="s">
        <v>118</v>
      </c>
      <c r="E25" s="18" t="s">
        <v>119</v>
      </c>
      <c r="F25" s="18" t="s">
        <v>120</v>
      </c>
      <c r="G25" s="18" t="s">
        <v>121</v>
      </c>
      <c r="H25" s="18">
        <v>99999</v>
      </c>
      <c r="I25" s="18" t="s">
        <v>30</v>
      </c>
      <c r="J25" s="18" t="s">
        <v>60</v>
      </c>
      <c r="K25" s="18" t="s">
        <v>61</v>
      </c>
      <c r="L25" s="18"/>
      <c r="M25" s="18"/>
      <c r="N25" s="18" t="s">
        <v>122</v>
      </c>
      <c r="O25" s="18" t="s">
        <v>119</v>
      </c>
      <c r="P25" s="18" t="s">
        <v>120</v>
      </c>
      <c r="Q25" s="18" t="s">
        <v>121</v>
      </c>
      <c r="R25" s="18">
        <v>99999</v>
      </c>
      <c r="S25" s="18" t="s">
        <v>30</v>
      </c>
      <c r="T25" s="18"/>
      <c r="U25" s="18" t="s">
        <v>103</v>
      </c>
      <c r="V25" s="18" t="s">
        <v>37</v>
      </c>
      <c r="W25" s="19">
        <v>2.99</v>
      </c>
      <c r="X25" s="18">
        <v>67</v>
      </c>
      <c r="Y25" s="19">
        <v>200.33</v>
      </c>
      <c r="Z25" s="20">
        <v>20.033000000000001</v>
      </c>
    </row>
    <row r="26" spans="1:26" x14ac:dyDescent="0.25">
      <c r="A26" s="16">
        <v>1025</v>
      </c>
      <c r="B26" s="17">
        <v>41667</v>
      </c>
      <c r="C26" s="18">
        <v>28</v>
      </c>
      <c r="D26" s="18" t="s">
        <v>90</v>
      </c>
      <c r="E26" s="18" t="s">
        <v>91</v>
      </c>
      <c r="F26" s="18" t="s">
        <v>92</v>
      </c>
      <c r="G26" s="18" t="s">
        <v>93</v>
      </c>
      <c r="H26" s="18">
        <v>99999</v>
      </c>
      <c r="I26" s="18" t="s">
        <v>30</v>
      </c>
      <c r="J26" s="18" t="s">
        <v>94</v>
      </c>
      <c r="K26" s="18" t="s">
        <v>95</v>
      </c>
      <c r="L26" s="17">
        <v>41669</v>
      </c>
      <c r="M26" s="18" t="s">
        <v>62</v>
      </c>
      <c r="N26" s="18" t="s">
        <v>96</v>
      </c>
      <c r="O26" s="18" t="s">
        <v>91</v>
      </c>
      <c r="P26" s="18" t="s">
        <v>92</v>
      </c>
      <c r="Q26" s="18" t="s">
        <v>93</v>
      </c>
      <c r="R26" s="18">
        <v>99999</v>
      </c>
      <c r="S26" s="18" t="s">
        <v>30</v>
      </c>
      <c r="T26" s="18" t="s">
        <v>48</v>
      </c>
      <c r="U26" s="18" t="s">
        <v>80</v>
      </c>
      <c r="V26" s="18" t="s">
        <v>81</v>
      </c>
      <c r="W26" s="19">
        <v>9.65</v>
      </c>
      <c r="X26" s="18">
        <v>100</v>
      </c>
      <c r="Y26" s="19">
        <v>965</v>
      </c>
      <c r="Z26" s="20">
        <v>93.605000000000004</v>
      </c>
    </row>
    <row r="27" spans="1:26" x14ac:dyDescent="0.25">
      <c r="A27" s="16">
        <v>1026</v>
      </c>
      <c r="B27" s="17">
        <v>41667</v>
      </c>
      <c r="C27" s="18">
        <v>28</v>
      </c>
      <c r="D27" s="18" t="s">
        <v>90</v>
      </c>
      <c r="E27" s="18" t="s">
        <v>91</v>
      </c>
      <c r="F27" s="18" t="s">
        <v>92</v>
      </c>
      <c r="G27" s="18" t="s">
        <v>93</v>
      </c>
      <c r="H27" s="18">
        <v>99999</v>
      </c>
      <c r="I27" s="18" t="s">
        <v>30</v>
      </c>
      <c r="J27" s="18" t="s">
        <v>94</v>
      </c>
      <c r="K27" s="18" t="s">
        <v>95</v>
      </c>
      <c r="L27" s="17">
        <v>41669</v>
      </c>
      <c r="M27" s="18" t="s">
        <v>62</v>
      </c>
      <c r="N27" s="18" t="s">
        <v>96</v>
      </c>
      <c r="O27" s="18" t="s">
        <v>91</v>
      </c>
      <c r="P27" s="18" t="s">
        <v>92</v>
      </c>
      <c r="Q27" s="18" t="s">
        <v>93</v>
      </c>
      <c r="R27" s="18">
        <v>99999</v>
      </c>
      <c r="S27" s="18" t="s">
        <v>30</v>
      </c>
      <c r="T27" s="18" t="s">
        <v>48</v>
      </c>
      <c r="U27" s="18" t="s">
        <v>123</v>
      </c>
      <c r="V27" s="18" t="s">
        <v>124</v>
      </c>
      <c r="W27" s="19">
        <v>18.399999999999999</v>
      </c>
      <c r="X27" s="18">
        <v>63</v>
      </c>
      <c r="Y27" s="19">
        <v>1159.1999999999998</v>
      </c>
      <c r="Z27" s="20">
        <v>114.76079999999999</v>
      </c>
    </row>
    <row r="28" spans="1:26" x14ac:dyDescent="0.25">
      <c r="A28" s="16">
        <v>1027</v>
      </c>
      <c r="B28" s="17">
        <v>41648</v>
      </c>
      <c r="C28" s="18">
        <v>9</v>
      </c>
      <c r="D28" s="18" t="s">
        <v>125</v>
      </c>
      <c r="E28" s="18" t="s">
        <v>126</v>
      </c>
      <c r="F28" s="18" t="s">
        <v>127</v>
      </c>
      <c r="G28" s="18" t="s">
        <v>128</v>
      </c>
      <c r="H28" s="18">
        <v>99999</v>
      </c>
      <c r="I28" s="18" t="s">
        <v>30</v>
      </c>
      <c r="J28" s="18" t="s">
        <v>129</v>
      </c>
      <c r="K28" s="18" t="s">
        <v>32</v>
      </c>
      <c r="L28" s="17">
        <v>41650</v>
      </c>
      <c r="M28" s="18" t="s">
        <v>46</v>
      </c>
      <c r="N28" s="18" t="s">
        <v>130</v>
      </c>
      <c r="O28" s="18" t="s">
        <v>126</v>
      </c>
      <c r="P28" s="18" t="s">
        <v>127</v>
      </c>
      <c r="Q28" s="18" t="s">
        <v>128</v>
      </c>
      <c r="R28" s="18">
        <v>99999</v>
      </c>
      <c r="S28" s="18" t="s">
        <v>30</v>
      </c>
      <c r="T28" s="18" t="s">
        <v>35</v>
      </c>
      <c r="U28" s="18" t="s">
        <v>131</v>
      </c>
      <c r="V28" s="18" t="s">
        <v>132</v>
      </c>
      <c r="W28" s="19">
        <v>19.5</v>
      </c>
      <c r="X28" s="18">
        <v>57</v>
      </c>
      <c r="Y28" s="19">
        <v>1111.5</v>
      </c>
      <c r="Z28" s="20">
        <v>110.0385</v>
      </c>
    </row>
    <row r="29" spans="1:26" x14ac:dyDescent="0.25">
      <c r="A29" s="16">
        <v>1028</v>
      </c>
      <c r="B29" s="17">
        <v>41648</v>
      </c>
      <c r="C29" s="18">
        <v>9</v>
      </c>
      <c r="D29" s="18" t="s">
        <v>125</v>
      </c>
      <c r="E29" s="18" t="s">
        <v>126</v>
      </c>
      <c r="F29" s="18" t="s">
        <v>127</v>
      </c>
      <c r="G29" s="18" t="s">
        <v>128</v>
      </c>
      <c r="H29" s="18">
        <v>99999</v>
      </c>
      <c r="I29" s="18" t="s">
        <v>30</v>
      </c>
      <c r="J29" s="18" t="s">
        <v>129</v>
      </c>
      <c r="K29" s="18" t="s">
        <v>32</v>
      </c>
      <c r="L29" s="17">
        <v>41650</v>
      </c>
      <c r="M29" s="18" t="s">
        <v>46</v>
      </c>
      <c r="N29" s="18" t="s">
        <v>130</v>
      </c>
      <c r="O29" s="18" t="s">
        <v>126</v>
      </c>
      <c r="P29" s="18" t="s">
        <v>127</v>
      </c>
      <c r="Q29" s="18" t="s">
        <v>128</v>
      </c>
      <c r="R29" s="18">
        <v>99999</v>
      </c>
      <c r="S29" s="18" t="s">
        <v>30</v>
      </c>
      <c r="T29" s="18" t="s">
        <v>35</v>
      </c>
      <c r="U29" s="18" t="s">
        <v>133</v>
      </c>
      <c r="V29" s="18" t="s">
        <v>134</v>
      </c>
      <c r="W29" s="19">
        <v>34.799999999999997</v>
      </c>
      <c r="X29" s="18">
        <v>81</v>
      </c>
      <c r="Y29" s="19">
        <v>2818.7999999999997</v>
      </c>
      <c r="Z29" s="20">
        <v>295.97399999999999</v>
      </c>
    </row>
    <row r="30" spans="1:26" x14ac:dyDescent="0.25">
      <c r="A30" s="16">
        <v>1029</v>
      </c>
      <c r="B30" s="17">
        <v>41645</v>
      </c>
      <c r="C30" s="18">
        <v>6</v>
      </c>
      <c r="D30" s="18" t="s">
        <v>82</v>
      </c>
      <c r="E30" s="18" t="s">
        <v>83</v>
      </c>
      <c r="F30" s="18" t="s">
        <v>84</v>
      </c>
      <c r="G30" s="18" t="s">
        <v>85</v>
      </c>
      <c r="H30" s="18">
        <v>99999</v>
      </c>
      <c r="I30" s="18" t="s">
        <v>30</v>
      </c>
      <c r="J30" s="18" t="s">
        <v>86</v>
      </c>
      <c r="K30" s="18" t="s">
        <v>61</v>
      </c>
      <c r="L30" s="17">
        <v>41647</v>
      </c>
      <c r="M30" s="18" t="s">
        <v>33</v>
      </c>
      <c r="N30" s="18" t="s">
        <v>87</v>
      </c>
      <c r="O30" s="18" t="s">
        <v>83</v>
      </c>
      <c r="P30" s="18" t="s">
        <v>84</v>
      </c>
      <c r="Q30" s="18" t="s">
        <v>85</v>
      </c>
      <c r="R30" s="18">
        <v>99999</v>
      </c>
      <c r="S30" s="18" t="s">
        <v>30</v>
      </c>
      <c r="T30" s="18" t="s">
        <v>48</v>
      </c>
      <c r="U30" s="18" t="s">
        <v>36</v>
      </c>
      <c r="V30" s="18" t="s">
        <v>37</v>
      </c>
      <c r="W30" s="19">
        <v>14</v>
      </c>
      <c r="X30" s="18">
        <v>71</v>
      </c>
      <c r="Y30" s="19">
        <v>994</v>
      </c>
      <c r="Z30" s="20">
        <v>95.424000000000007</v>
      </c>
    </row>
    <row r="31" spans="1:26" x14ac:dyDescent="0.25">
      <c r="A31" s="16">
        <v>1030</v>
      </c>
      <c r="B31" s="17">
        <v>41678</v>
      </c>
      <c r="C31" s="18">
        <v>8</v>
      </c>
      <c r="D31" s="18" t="s">
        <v>56</v>
      </c>
      <c r="E31" s="18" t="s">
        <v>57</v>
      </c>
      <c r="F31" s="18" t="s">
        <v>58</v>
      </c>
      <c r="G31" s="18" t="s">
        <v>59</v>
      </c>
      <c r="H31" s="18">
        <v>99999</v>
      </c>
      <c r="I31" s="18" t="s">
        <v>30</v>
      </c>
      <c r="J31" s="18" t="s">
        <v>60</v>
      </c>
      <c r="K31" s="18" t="s">
        <v>61</v>
      </c>
      <c r="L31" s="17">
        <v>41680</v>
      </c>
      <c r="M31" s="18" t="s">
        <v>33</v>
      </c>
      <c r="N31" s="18" t="s">
        <v>63</v>
      </c>
      <c r="O31" s="18" t="s">
        <v>57</v>
      </c>
      <c r="P31" s="18" t="s">
        <v>58</v>
      </c>
      <c r="Q31" s="18" t="s">
        <v>59</v>
      </c>
      <c r="R31" s="18">
        <v>99999</v>
      </c>
      <c r="S31" s="18" t="s">
        <v>30</v>
      </c>
      <c r="T31" s="18" t="s">
        <v>35</v>
      </c>
      <c r="U31" s="18" t="s">
        <v>88</v>
      </c>
      <c r="V31" s="18" t="s">
        <v>89</v>
      </c>
      <c r="W31" s="19">
        <v>40</v>
      </c>
      <c r="X31" s="18">
        <v>32</v>
      </c>
      <c r="Y31" s="19">
        <v>1280</v>
      </c>
      <c r="Z31" s="20">
        <v>129.28</v>
      </c>
    </row>
    <row r="32" spans="1:26" x14ac:dyDescent="0.25">
      <c r="A32" s="16">
        <v>1031</v>
      </c>
      <c r="B32" s="17">
        <v>41673</v>
      </c>
      <c r="C32" s="18">
        <v>3</v>
      </c>
      <c r="D32" s="18" t="s">
        <v>74</v>
      </c>
      <c r="E32" s="18" t="s">
        <v>75</v>
      </c>
      <c r="F32" s="18" t="s">
        <v>76</v>
      </c>
      <c r="G32" s="18" t="s">
        <v>77</v>
      </c>
      <c r="H32" s="18">
        <v>99999</v>
      </c>
      <c r="I32" s="18" t="s">
        <v>30</v>
      </c>
      <c r="J32" s="18" t="s">
        <v>31</v>
      </c>
      <c r="K32" s="18" t="s">
        <v>32</v>
      </c>
      <c r="L32" s="17">
        <v>41675</v>
      </c>
      <c r="M32" s="18" t="s">
        <v>33</v>
      </c>
      <c r="N32" s="18" t="s">
        <v>78</v>
      </c>
      <c r="O32" s="18" t="s">
        <v>75</v>
      </c>
      <c r="P32" s="18" t="s">
        <v>76</v>
      </c>
      <c r="Q32" s="18" t="s">
        <v>77</v>
      </c>
      <c r="R32" s="18">
        <v>99999</v>
      </c>
      <c r="S32" s="18" t="s">
        <v>30</v>
      </c>
      <c r="T32" s="18" t="s">
        <v>79</v>
      </c>
      <c r="U32" s="18" t="s">
        <v>135</v>
      </c>
      <c r="V32" s="18" t="s">
        <v>112</v>
      </c>
      <c r="W32" s="19">
        <v>10</v>
      </c>
      <c r="X32" s="18">
        <v>63</v>
      </c>
      <c r="Y32" s="19">
        <v>630</v>
      </c>
      <c r="Z32" s="20">
        <v>65.52</v>
      </c>
    </row>
    <row r="33" spans="1:26" x14ac:dyDescent="0.25">
      <c r="A33" s="16">
        <v>1032</v>
      </c>
      <c r="B33" s="17">
        <v>41673</v>
      </c>
      <c r="C33" s="18">
        <v>3</v>
      </c>
      <c r="D33" s="18" t="s">
        <v>74</v>
      </c>
      <c r="E33" s="18" t="s">
        <v>75</v>
      </c>
      <c r="F33" s="18" t="s">
        <v>76</v>
      </c>
      <c r="G33" s="18" t="s">
        <v>77</v>
      </c>
      <c r="H33" s="18">
        <v>99999</v>
      </c>
      <c r="I33" s="18" t="s">
        <v>30</v>
      </c>
      <c r="J33" s="18" t="s">
        <v>31</v>
      </c>
      <c r="K33" s="18" t="s">
        <v>32</v>
      </c>
      <c r="L33" s="17">
        <v>41675</v>
      </c>
      <c r="M33" s="18" t="s">
        <v>33</v>
      </c>
      <c r="N33" s="18" t="s">
        <v>78</v>
      </c>
      <c r="O33" s="18" t="s">
        <v>75</v>
      </c>
      <c r="P33" s="18" t="s">
        <v>76</v>
      </c>
      <c r="Q33" s="18" t="s">
        <v>77</v>
      </c>
      <c r="R33" s="18">
        <v>99999</v>
      </c>
      <c r="S33" s="18" t="s">
        <v>30</v>
      </c>
      <c r="T33" s="18" t="s">
        <v>79</v>
      </c>
      <c r="U33" s="18" t="s">
        <v>88</v>
      </c>
      <c r="V33" s="18" t="s">
        <v>89</v>
      </c>
      <c r="W33" s="19">
        <v>40</v>
      </c>
      <c r="X33" s="18">
        <v>30</v>
      </c>
      <c r="Y33" s="19">
        <v>1200</v>
      </c>
      <c r="Z33" s="20">
        <v>120</v>
      </c>
    </row>
    <row r="34" spans="1:26" x14ac:dyDescent="0.25">
      <c r="A34" s="16">
        <v>1033</v>
      </c>
      <c r="B34" s="17">
        <v>41676</v>
      </c>
      <c r="C34" s="18">
        <v>6</v>
      </c>
      <c r="D34" s="18" t="s">
        <v>82</v>
      </c>
      <c r="E34" s="18" t="s">
        <v>83</v>
      </c>
      <c r="F34" s="18" t="s">
        <v>84</v>
      </c>
      <c r="G34" s="18" t="s">
        <v>85</v>
      </c>
      <c r="H34" s="18">
        <v>99999</v>
      </c>
      <c r="I34" s="18" t="s">
        <v>30</v>
      </c>
      <c r="J34" s="18" t="s">
        <v>86</v>
      </c>
      <c r="K34" s="18" t="s">
        <v>61</v>
      </c>
      <c r="L34" s="17">
        <v>41678</v>
      </c>
      <c r="M34" s="18" t="s">
        <v>33</v>
      </c>
      <c r="N34" s="18" t="s">
        <v>87</v>
      </c>
      <c r="O34" s="18" t="s">
        <v>83</v>
      </c>
      <c r="P34" s="18" t="s">
        <v>84</v>
      </c>
      <c r="Q34" s="18" t="s">
        <v>85</v>
      </c>
      <c r="R34" s="18">
        <v>99999</v>
      </c>
      <c r="S34" s="18" t="s">
        <v>30</v>
      </c>
      <c r="T34" s="18" t="s">
        <v>48</v>
      </c>
      <c r="U34" s="18"/>
      <c r="V34" s="18" t="s">
        <v>152</v>
      </c>
      <c r="W34" s="19"/>
      <c r="X34" s="18"/>
      <c r="Y34" s="19">
        <v>10</v>
      </c>
      <c r="Z34" s="20">
        <v>43</v>
      </c>
    </row>
    <row r="35" spans="1:26" x14ac:dyDescent="0.25">
      <c r="A35" s="16">
        <v>1034</v>
      </c>
      <c r="B35" s="17">
        <v>41698</v>
      </c>
      <c r="C35" s="18">
        <v>28</v>
      </c>
      <c r="D35" s="18" t="s">
        <v>90</v>
      </c>
      <c r="E35" s="18" t="s">
        <v>91</v>
      </c>
      <c r="F35" s="18" t="s">
        <v>92</v>
      </c>
      <c r="G35" s="18" t="s">
        <v>93</v>
      </c>
      <c r="H35" s="18">
        <v>99999</v>
      </c>
      <c r="I35" s="18" t="s">
        <v>30</v>
      </c>
      <c r="J35" s="18" t="s">
        <v>94</v>
      </c>
      <c r="K35" s="18" t="s">
        <v>95</v>
      </c>
      <c r="L35" s="17">
        <v>41700</v>
      </c>
      <c r="M35" s="18" t="s">
        <v>62</v>
      </c>
      <c r="N35" s="18" t="s">
        <v>96</v>
      </c>
      <c r="O35" s="18" t="s">
        <v>91</v>
      </c>
      <c r="P35" s="18" t="s">
        <v>92</v>
      </c>
      <c r="Q35" s="18" t="s">
        <v>93</v>
      </c>
      <c r="R35" s="18">
        <v>99999</v>
      </c>
      <c r="S35" s="18" t="s">
        <v>30</v>
      </c>
      <c r="T35" s="18" t="s">
        <v>35</v>
      </c>
      <c r="U35" s="18"/>
      <c r="V35" s="18" t="s">
        <v>152</v>
      </c>
      <c r="W35" s="19"/>
      <c r="X35" s="18"/>
      <c r="Y35" s="19">
        <v>10</v>
      </c>
      <c r="Z35" s="20">
        <v>31</v>
      </c>
    </row>
    <row r="36" spans="1:26" x14ac:dyDescent="0.25">
      <c r="A36" s="16">
        <v>1035</v>
      </c>
      <c r="B36" s="17">
        <v>41678</v>
      </c>
      <c r="C36" s="18">
        <v>8</v>
      </c>
      <c r="D36" s="18" t="s">
        <v>56</v>
      </c>
      <c r="E36" s="18" t="s">
        <v>57</v>
      </c>
      <c r="F36" s="18" t="s">
        <v>58</v>
      </c>
      <c r="G36" s="18" t="s">
        <v>59</v>
      </c>
      <c r="H36" s="18">
        <v>99999</v>
      </c>
      <c r="I36" s="18" t="s">
        <v>30</v>
      </c>
      <c r="J36" s="18" t="s">
        <v>60</v>
      </c>
      <c r="K36" s="18" t="s">
        <v>61</v>
      </c>
      <c r="L36" s="17">
        <v>41680</v>
      </c>
      <c r="M36" s="18" t="s">
        <v>62</v>
      </c>
      <c r="N36" s="18" t="s">
        <v>63</v>
      </c>
      <c r="O36" s="18" t="s">
        <v>57</v>
      </c>
      <c r="P36" s="18" t="s">
        <v>58</v>
      </c>
      <c r="Q36" s="18" t="s">
        <v>59</v>
      </c>
      <c r="R36" s="18">
        <v>99999</v>
      </c>
      <c r="S36" s="18" t="s">
        <v>30</v>
      </c>
      <c r="T36" s="18" t="s">
        <v>35</v>
      </c>
      <c r="U36" s="18"/>
      <c r="V36" s="18" t="s">
        <v>152</v>
      </c>
      <c r="W36" s="19"/>
      <c r="X36" s="18"/>
      <c r="Y36" s="19">
        <v>10</v>
      </c>
      <c r="Z36" s="20">
        <v>46</v>
      </c>
    </row>
    <row r="37" spans="1:26" x14ac:dyDescent="0.25">
      <c r="A37" s="16">
        <v>1036</v>
      </c>
      <c r="B37" s="17">
        <v>41680</v>
      </c>
      <c r="C37" s="18">
        <v>10</v>
      </c>
      <c r="D37" s="18" t="s">
        <v>97</v>
      </c>
      <c r="E37" s="18" t="s">
        <v>98</v>
      </c>
      <c r="F37" s="18" t="s">
        <v>99</v>
      </c>
      <c r="G37" s="18" t="s">
        <v>100</v>
      </c>
      <c r="H37" s="18">
        <v>99999</v>
      </c>
      <c r="I37" s="18" t="s">
        <v>30</v>
      </c>
      <c r="J37" s="18" t="s">
        <v>101</v>
      </c>
      <c r="K37" s="18" t="s">
        <v>45</v>
      </c>
      <c r="L37" s="17">
        <v>41682</v>
      </c>
      <c r="M37" s="18" t="s">
        <v>33</v>
      </c>
      <c r="N37" s="18" t="s">
        <v>102</v>
      </c>
      <c r="O37" s="18" t="s">
        <v>98</v>
      </c>
      <c r="P37" s="18" t="s">
        <v>99</v>
      </c>
      <c r="Q37" s="18" t="s">
        <v>100</v>
      </c>
      <c r="R37" s="18">
        <v>99999</v>
      </c>
      <c r="S37" s="18" t="s">
        <v>30</v>
      </c>
      <c r="T37" s="18" t="s">
        <v>48</v>
      </c>
      <c r="U37" s="18" t="s">
        <v>136</v>
      </c>
      <c r="V37" s="18" t="s">
        <v>39</v>
      </c>
      <c r="W37" s="19">
        <v>10</v>
      </c>
      <c r="X37" s="18">
        <v>47</v>
      </c>
      <c r="Y37" s="19">
        <v>470</v>
      </c>
      <c r="Z37" s="20">
        <v>48.88</v>
      </c>
    </row>
    <row r="38" spans="1:26" x14ac:dyDescent="0.25">
      <c r="A38" s="16">
        <v>1038</v>
      </c>
      <c r="B38" s="17">
        <v>41680</v>
      </c>
      <c r="C38" s="18">
        <v>10</v>
      </c>
      <c r="D38" s="18" t="s">
        <v>97</v>
      </c>
      <c r="E38" s="18" t="s">
        <v>98</v>
      </c>
      <c r="F38" s="18" t="s">
        <v>99</v>
      </c>
      <c r="G38" s="18" t="s">
        <v>100</v>
      </c>
      <c r="H38" s="18">
        <v>99999</v>
      </c>
      <c r="I38" s="18" t="s">
        <v>30</v>
      </c>
      <c r="J38" s="18" t="s">
        <v>101</v>
      </c>
      <c r="K38" s="18" t="s">
        <v>45</v>
      </c>
      <c r="L38" s="18"/>
      <c r="M38" s="18" t="s">
        <v>46</v>
      </c>
      <c r="N38" s="18" t="s">
        <v>102</v>
      </c>
      <c r="O38" s="18" t="s">
        <v>98</v>
      </c>
      <c r="P38" s="18" t="s">
        <v>99</v>
      </c>
      <c r="Q38" s="18" t="s">
        <v>100</v>
      </c>
      <c r="R38" s="18">
        <v>99999</v>
      </c>
      <c r="S38" s="18" t="s">
        <v>30</v>
      </c>
      <c r="T38" s="18"/>
      <c r="U38" s="18" t="s">
        <v>38</v>
      </c>
      <c r="V38" s="18" t="s">
        <v>39</v>
      </c>
      <c r="W38" s="19">
        <v>3.5</v>
      </c>
      <c r="X38" s="18">
        <v>49</v>
      </c>
      <c r="Y38" s="19">
        <v>171.5</v>
      </c>
      <c r="Z38" s="20">
        <v>16.464000000000002</v>
      </c>
    </row>
    <row r="39" spans="1:26" x14ac:dyDescent="0.25">
      <c r="A39" s="16">
        <v>1039</v>
      </c>
      <c r="B39" s="17">
        <v>41681</v>
      </c>
      <c r="C39" s="18">
        <v>11</v>
      </c>
      <c r="D39" s="18" t="s">
        <v>113</v>
      </c>
      <c r="E39" s="18" t="s">
        <v>114</v>
      </c>
      <c r="F39" s="18" t="s">
        <v>115</v>
      </c>
      <c r="G39" s="18" t="s">
        <v>116</v>
      </c>
      <c r="H39" s="18">
        <v>99999</v>
      </c>
      <c r="I39" s="18" t="s">
        <v>30</v>
      </c>
      <c r="J39" s="18" t="s">
        <v>94</v>
      </c>
      <c r="K39" s="18" t="s">
        <v>95</v>
      </c>
      <c r="L39" s="18"/>
      <c r="M39" s="18" t="s">
        <v>62</v>
      </c>
      <c r="N39" s="18" t="s">
        <v>117</v>
      </c>
      <c r="O39" s="18" t="s">
        <v>114</v>
      </c>
      <c r="P39" s="18" t="s">
        <v>115</v>
      </c>
      <c r="Q39" s="18" t="s">
        <v>116</v>
      </c>
      <c r="R39" s="18">
        <v>99999</v>
      </c>
      <c r="S39" s="18" t="s">
        <v>30</v>
      </c>
      <c r="T39" s="18"/>
      <c r="U39" s="18" t="s">
        <v>88</v>
      </c>
      <c r="V39" s="18" t="s">
        <v>89</v>
      </c>
      <c r="W39" s="19">
        <v>40</v>
      </c>
      <c r="X39" s="18">
        <v>72</v>
      </c>
      <c r="Y39" s="19">
        <v>2880</v>
      </c>
      <c r="Z39" s="20">
        <v>285.12</v>
      </c>
    </row>
    <row r="40" spans="1:26" x14ac:dyDescent="0.25">
      <c r="A40" s="16">
        <v>1040</v>
      </c>
      <c r="B40" s="17">
        <v>41671</v>
      </c>
      <c r="C40" s="18">
        <v>1</v>
      </c>
      <c r="D40" s="18" t="s">
        <v>118</v>
      </c>
      <c r="E40" s="18" t="s">
        <v>119</v>
      </c>
      <c r="F40" s="18" t="s">
        <v>120</v>
      </c>
      <c r="G40" s="18" t="s">
        <v>121</v>
      </c>
      <c r="H40" s="18">
        <v>99999</v>
      </c>
      <c r="I40" s="18" t="s">
        <v>30</v>
      </c>
      <c r="J40" s="18" t="s">
        <v>60</v>
      </c>
      <c r="K40" s="18" t="s">
        <v>61</v>
      </c>
      <c r="L40" s="18"/>
      <c r="M40" s="18" t="s">
        <v>62</v>
      </c>
      <c r="N40" s="18" t="s">
        <v>122</v>
      </c>
      <c r="O40" s="18" t="s">
        <v>119</v>
      </c>
      <c r="P40" s="18" t="s">
        <v>120</v>
      </c>
      <c r="Q40" s="18" t="s">
        <v>121</v>
      </c>
      <c r="R40" s="18">
        <v>99999</v>
      </c>
      <c r="S40" s="18" t="s">
        <v>30</v>
      </c>
      <c r="T40" s="18"/>
      <c r="U40" s="18" t="s">
        <v>123</v>
      </c>
      <c r="V40" s="18" t="s">
        <v>124</v>
      </c>
      <c r="W40" s="19">
        <v>18.399999999999999</v>
      </c>
      <c r="X40" s="18">
        <v>13</v>
      </c>
      <c r="Y40" s="19">
        <v>239.2</v>
      </c>
      <c r="Z40" s="20">
        <v>23.680800000000001</v>
      </c>
    </row>
    <row r="41" spans="1:26" x14ac:dyDescent="0.25">
      <c r="A41" s="16">
        <v>1041</v>
      </c>
      <c r="B41" s="17">
        <v>41698</v>
      </c>
      <c r="C41" s="18">
        <v>28</v>
      </c>
      <c r="D41" s="18" t="s">
        <v>90</v>
      </c>
      <c r="E41" s="18" t="s">
        <v>91</v>
      </c>
      <c r="F41" s="18" t="s">
        <v>92</v>
      </c>
      <c r="G41" s="18" t="s">
        <v>93</v>
      </c>
      <c r="H41" s="18">
        <v>99999</v>
      </c>
      <c r="I41" s="18" t="s">
        <v>30</v>
      </c>
      <c r="J41" s="18" t="s">
        <v>94</v>
      </c>
      <c r="K41" s="18" t="s">
        <v>95</v>
      </c>
      <c r="L41" s="18">
        <v>41700</v>
      </c>
      <c r="M41" s="18" t="s">
        <v>62</v>
      </c>
      <c r="N41" s="18" t="s">
        <v>96</v>
      </c>
      <c r="O41" s="18" t="s">
        <v>91</v>
      </c>
      <c r="P41" s="18" t="s">
        <v>92</v>
      </c>
      <c r="Q41" s="18" t="s">
        <v>93</v>
      </c>
      <c r="R41" s="18">
        <v>99999</v>
      </c>
      <c r="S41" s="18" t="s">
        <v>30</v>
      </c>
      <c r="T41" s="18" t="s">
        <v>48</v>
      </c>
      <c r="U41" s="18" t="s">
        <v>55</v>
      </c>
      <c r="V41" s="18" t="s">
        <v>37</v>
      </c>
      <c r="W41" s="19">
        <v>46</v>
      </c>
      <c r="X41" s="18">
        <v>32</v>
      </c>
      <c r="Y41" s="19">
        <v>1472</v>
      </c>
      <c r="Z41" s="20">
        <v>148.67200000000003</v>
      </c>
    </row>
    <row r="42" spans="1:26" x14ac:dyDescent="0.25">
      <c r="A42" s="16">
        <v>1042</v>
      </c>
      <c r="B42" s="17">
        <v>41679</v>
      </c>
      <c r="C42" s="18">
        <v>9</v>
      </c>
      <c r="D42" s="18" t="s">
        <v>125</v>
      </c>
      <c r="E42" s="18" t="s">
        <v>126</v>
      </c>
      <c r="F42" s="18" t="s">
        <v>127</v>
      </c>
      <c r="G42" s="18" t="s">
        <v>128</v>
      </c>
      <c r="H42" s="18">
        <v>99999</v>
      </c>
      <c r="I42" s="18" t="s">
        <v>30</v>
      </c>
      <c r="J42" s="18" t="s">
        <v>129</v>
      </c>
      <c r="K42" s="18" t="s">
        <v>32</v>
      </c>
      <c r="L42" s="17">
        <v>41681</v>
      </c>
      <c r="M42" s="18" t="s">
        <v>46</v>
      </c>
      <c r="N42" s="18" t="s">
        <v>130</v>
      </c>
      <c r="O42" s="18" t="s">
        <v>126</v>
      </c>
      <c r="P42" s="18" t="s">
        <v>127</v>
      </c>
      <c r="Q42" s="18" t="s">
        <v>128</v>
      </c>
      <c r="R42" s="18">
        <v>99999</v>
      </c>
      <c r="S42" s="18" t="s">
        <v>30</v>
      </c>
      <c r="T42" s="18" t="s">
        <v>35</v>
      </c>
      <c r="U42" s="18" t="s">
        <v>80</v>
      </c>
      <c r="V42" s="18" t="s">
        <v>81</v>
      </c>
      <c r="W42" s="19">
        <v>9.65</v>
      </c>
      <c r="X42" s="18">
        <v>27</v>
      </c>
      <c r="Y42" s="19">
        <v>260.55</v>
      </c>
      <c r="Z42" s="20">
        <v>24.752250000000004</v>
      </c>
    </row>
    <row r="43" spans="1:26" x14ac:dyDescent="0.25">
      <c r="A43" s="16">
        <v>1043</v>
      </c>
      <c r="B43" s="17">
        <v>41676</v>
      </c>
      <c r="C43" s="18">
        <v>6</v>
      </c>
      <c r="D43" s="18" t="s">
        <v>82</v>
      </c>
      <c r="E43" s="18" t="s">
        <v>83</v>
      </c>
      <c r="F43" s="18" t="s">
        <v>84</v>
      </c>
      <c r="G43" s="18" t="s">
        <v>85</v>
      </c>
      <c r="H43" s="18">
        <v>99999</v>
      </c>
      <c r="I43" s="18" t="s">
        <v>30</v>
      </c>
      <c r="J43" s="18" t="s">
        <v>86</v>
      </c>
      <c r="K43" s="18" t="s">
        <v>61</v>
      </c>
      <c r="L43" s="17">
        <v>41678</v>
      </c>
      <c r="M43" s="18" t="s">
        <v>33</v>
      </c>
      <c r="N43" s="18" t="s">
        <v>87</v>
      </c>
      <c r="O43" s="18" t="s">
        <v>83</v>
      </c>
      <c r="P43" s="18" t="s">
        <v>84</v>
      </c>
      <c r="Q43" s="18" t="s">
        <v>85</v>
      </c>
      <c r="R43" s="18">
        <v>99999</v>
      </c>
      <c r="S43" s="18" t="s">
        <v>30</v>
      </c>
      <c r="T43" s="18" t="s">
        <v>48</v>
      </c>
      <c r="U43" s="18" t="s">
        <v>72</v>
      </c>
      <c r="V43" s="18" t="s">
        <v>73</v>
      </c>
      <c r="W43" s="19">
        <v>12.75</v>
      </c>
      <c r="X43" s="18">
        <v>71</v>
      </c>
      <c r="Y43" s="19">
        <v>905.25</v>
      </c>
      <c r="Z43" s="20">
        <v>91.430250000000001</v>
      </c>
    </row>
    <row r="44" spans="1:26" x14ac:dyDescent="0.25">
      <c r="A44" s="16">
        <v>1044</v>
      </c>
      <c r="B44" s="17">
        <v>41678</v>
      </c>
      <c r="C44" s="18">
        <v>8</v>
      </c>
      <c r="D44" s="18" t="s">
        <v>56</v>
      </c>
      <c r="E44" s="18" t="s">
        <v>57</v>
      </c>
      <c r="F44" s="18" t="s">
        <v>58</v>
      </c>
      <c r="G44" s="18" t="s">
        <v>59</v>
      </c>
      <c r="H44" s="18">
        <v>99999</v>
      </c>
      <c r="I44" s="18" t="s">
        <v>30</v>
      </c>
      <c r="J44" s="18" t="s">
        <v>60</v>
      </c>
      <c r="K44" s="18" t="s">
        <v>61</v>
      </c>
      <c r="L44" s="17">
        <v>41680</v>
      </c>
      <c r="M44" s="18" t="s">
        <v>33</v>
      </c>
      <c r="N44" s="18" t="s">
        <v>63</v>
      </c>
      <c r="O44" s="18" t="s">
        <v>57</v>
      </c>
      <c r="P44" s="18" t="s">
        <v>58</v>
      </c>
      <c r="Q44" s="18" t="s">
        <v>59</v>
      </c>
      <c r="R44" s="18">
        <v>99999</v>
      </c>
      <c r="S44" s="18" t="s">
        <v>30</v>
      </c>
      <c r="T44" s="18" t="s">
        <v>35</v>
      </c>
      <c r="U44" s="18" t="s">
        <v>72</v>
      </c>
      <c r="V44" s="18" t="s">
        <v>73</v>
      </c>
      <c r="W44" s="19">
        <v>12.75</v>
      </c>
      <c r="X44" s="18">
        <v>13</v>
      </c>
      <c r="Y44" s="19">
        <v>165.75</v>
      </c>
      <c r="Z44" s="20">
        <v>15.746249999999998</v>
      </c>
    </row>
    <row r="45" spans="1:26" x14ac:dyDescent="0.25">
      <c r="A45" s="16">
        <v>1045</v>
      </c>
      <c r="B45" s="17">
        <v>41695</v>
      </c>
      <c r="C45" s="18">
        <v>25</v>
      </c>
      <c r="D45" s="18" t="s">
        <v>137</v>
      </c>
      <c r="E45" s="18" t="s">
        <v>138</v>
      </c>
      <c r="F45" s="18" t="s">
        <v>99</v>
      </c>
      <c r="G45" s="18" t="s">
        <v>100</v>
      </c>
      <c r="H45" s="18">
        <v>99999</v>
      </c>
      <c r="I45" s="18" t="s">
        <v>30</v>
      </c>
      <c r="J45" s="18" t="s">
        <v>101</v>
      </c>
      <c r="K45" s="18" t="s">
        <v>45</v>
      </c>
      <c r="L45" s="17">
        <v>41697</v>
      </c>
      <c r="M45" s="18" t="s">
        <v>46</v>
      </c>
      <c r="N45" s="18" t="s">
        <v>139</v>
      </c>
      <c r="O45" s="18" t="s">
        <v>138</v>
      </c>
      <c r="P45" s="18" t="s">
        <v>99</v>
      </c>
      <c r="Q45" s="18" t="s">
        <v>100</v>
      </c>
      <c r="R45" s="18">
        <v>99999</v>
      </c>
      <c r="S45" s="18" t="s">
        <v>30</v>
      </c>
      <c r="T45" s="18" t="s">
        <v>79</v>
      </c>
      <c r="U45" s="18" t="s">
        <v>111</v>
      </c>
      <c r="V45" s="18" t="s">
        <v>112</v>
      </c>
      <c r="W45" s="19">
        <v>22</v>
      </c>
      <c r="X45" s="18">
        <v>98</v>
      </c>
      <c r="Y45" s="19">
        <v>2156</v>
      </c>
      <c r="Z45" s="20">
        <v>204.82000000000002</v>
      </c>
    </row>
    <row r="46" spans="1:26" x14ac:dyDescent="0.25">
      <c r="A46" s="16">
        <v>1046</v>
      </c>
      <c r="B46" s="17">
        <v>41696</v>
      </c>
      <c r="C46" s="18">
        <v>26</v>
      </c>
      <c r="D46" s="18" t="s">
        <v>140</v>
      </c>
      <c r="E46" s="18" t="s">
        <v>141</v>
      </c>
      <c r="F46" s="18" t="s">
        <v>115</v>
      </c>
      <c r="G46" s="18" t="s">
        <v>116</v>
      </c>
      <c r="H46" s="18">
        <v>99999</v>
      </c>
      <c r="I46" s="18" t="s">
        <v>30</v>
      </c>
      <c r="J46" s="18" t="s">
        <v>94</v>
      </c>
      <c r="K46" s="18" t="s">
        <v>95</v>
      </c>
      <c r="L46" s="17">
        <v>41698</v>
      </c>
      <c r="M46" s="18" t="s">
        <v>62</v>
      </c>
      <c r="N46" s="18" t="s">
        <v>142</v>
      </c>
      <c r="O46" s="18" t="s">
        <v>141</v>
      </c>
      <c r="P46" s="18" t="s">
        <v>115</v>
      </c>
      <c r="Q46" s="18" t="s">
        <v>116</v>
      </c>
      <c r="R46" s="18">
        <v>99999</v>
      </c>
      <c r="S46" s="18" t="s">
        <v>30</v>
      </c>
      <c r="T46" s="18" t="s">
        <v>48</v>
      </c>
      <c r="U46" s="18" t="s">
        <v>109</v>
      </c>
      <c r="V46" s="18" t="s">
        <v>110</v>
      </c>
      <c r="W46" s="19">
        <v>25</v>
      </c>
      <c r="X46" s="18">
        <v>21</v>
      </c>
      <c r="Y46" s="19">
        <v>525</v>
      </c>
      <c r="Z46" s="20">
        <v>53.550000000000004</v>
      </c>
    </row>
    <row r="47" spans="1:26" x14ac:dyDescent="0.25">
      <c r="A47" s="16">
        <v>1047</v>
      </c>
      <c r="B47" s="17">
        <v>41699</v>
      </c>
      <c r="C47" s="18">
        <v>29</v>
      </c>
      <c r="D47" s="18" t="s">
        <v>66</v>
      </c>
      <c r="E47" s="18" t="s">
        <v>67</v>
      </c>
      <c r="F47" s="18" t="s">
        <v>68</v>
      </c>
      <c r="G47" s="18" t="s">
        <v>69</v>
      </c>
      <c r="H47" s="18">
        <v>99999</v>
      </c>
      <c r="I47" s="18" t="s">
        <v>30</v>
      </c>
      <c r="J47" s="18" t="s">
        <v>70</v>
      </c>
      <c r="K47" s="18" t="s">
        <v>32</v>
      </c>
      <c r="L47" s="17">
        <v>41701</v>
      </c>
      <c r="M47" s="18" t="s">
        <v>33</v>
      </c>
      <c r="N47" s="18" t="s">
        <v>71</v>
      </c>
      <c r="O47" s="18" t="s">
        <v>67</v>
      </c>
      <c r="P47" s="18" t="s">
        <v>68</v>
      </c>
      <c r="Q47" s="18" t="s">
        <v>69</v>
      </c>
      <c r="R47" s="18">
        <v>99999</v>
      </c>
      <c r="S47" s="18" t="s">
        <v>30</v>
      </c>
      <c r="T47" s="18" t="s">
        <v>35</v>
      </c>
      <c r="U47" s="18" t="s">
        <v>143</v>
      </c>
      <c r="V47" s="18" t="s">
        <v>144</v>
      </c>
      <c r="W47" s="19">
        <v>39</v>
      </c>
      <c r="X47" s="18">
        <v>26</v>
      </c>
      <c r="Y47" s="19">
        <v>1014</v>
      </c>
      <c r="Z47" s="20">
        <v>106.47000000000001</v>
      </c>
    </row>
    <row r="48" spans="1:26" x14ac:dyDescent="0.25">
      <c r="A48" s="16">
        <v>1048</v>
      </c>
      <c r="B48" s="17">
        <v>41676</v>
      </c>
      <c r="C48" s="18">
        <v>6</v>
      </c>
      <c r="D48" s="18" t="s">
        <v>82</v>
      </c>
      <c r="E48" s="18" t="s">
        <v>83</v>
      </c>
      <c r="F48" s="18" t="s">
        <v>84</v>
      </c>
      <c r="G48" s="18" t="s">
        <v>85</v>
      </c>
      <c r="H48" s="18">
        <v>99999</v>
      </c>
      <c r="I48" s="18" t="s">
        <v>30</v>
      </c>
      <c r="J48" s="18" t="s">
        <v>86</v>
      </c>
      <c r="K48" s="18" t="s">
        <v>61</v>
      </c>
      <c r="L48" s="17">
        <v>41678</v>
      </c>
      <c r="M48" s="18" t="s">
        <v>62</v>
      </c>
      <c r="N48" s="18" t="s">
        <v>87</v>
      </c>
      <c r="O48" s="18" t="s">
        <v>83</v>
      </c>
      <c r="P48" s="18" t="s">
        <v>84</v>
      </c>
      <c r="Q48" s="18" t="s">
        <v>85</v>
      </c>
      <c r="R48" s="18">
        <v>99999</v>
      </c>
      <c r="S48" s="18" t="s">
        <v>30</v>
      </c>
      <c r="T48" s="18" t="s">
        <v>35</v>
      </c>
      <c r="U48" s="18" t="s">
        <v>49</v>
      </c>
      <c r="V48" s="18" t="s">
        <v>39</v>
      </c>
      <c r="W48" s="19">
        <v>30</v>
      </c>
      <c r="X48" s="18">
        <v>96</v>
      </c>
      <c r="Y48" s="19">
        <v>2880</v>
      </c>
      <c r="Z48" s="20">
        <v>296.64</v>
      </c>
    </row>
    <row r="49" spans="1:26" x14ac:dyDescent="0.25">
      <c r="A49" s="16">
        <v>1049</v>
      </c>
      <c r="B49" s="17">
        <v>41676</v>
      </c>
      <c r="C49" s="18">
        <v>6</v>
      </c>
      <c r="D49" s="18" t="s">
        <v>82</v>
      </c>
      <c r="E49" s="18" t="s">
        <v>83</v>
      </c>
      <c r="F49" s="18" t="s">
        <v>84</v>
      </c>
      <c r="G49" s="18" t="s">
        <v>85</v>
      </c>
      <c r="H49" s="18">
        <v>99999</v>
      </c>
      <c r="I49" s="18" t="s">
        <v>30</v>
      </c>
      <c r="J49" s="18" t="s">
        <v>86</v>
      </c>
      <c r="K49" s="18" t="s">
        <v>61</v>
      </c>
      <c r="L49" s="17">
        <v>41678</v>
      </c>
      <c r="M49" s="18" t="s">
        <v>62</v>
      </c>
      <c r="N49" s="18" t="s">
        <v>87</v>
      </c>
      <c r="O49" s="18" t="s">
        <v>83</v>
      </c>
      <c r="P49" s="18" t="s">
        <v>84</v>
      </c>
      <c r="Q49" s="18" t="s">
        <v>85</v>
      </c>
      <c r="R49" s="18">
        <v>99999</v>
      </c>
      <c r="S49" s="18" t="s">
        <v>30</v>
      </c>
      <c r="T49" s="18" t="s">
        <v>35</v>
      </c>
      <c r="U49" s="18" t="s">
        <v>50</v>
      </c>
      <c r="V49" s="18" t="s">
        <v>39</v>
      </c>
      <c r="W49" s="19">
        <v>53</v>
      </c>
      <c r="X49" s="18">
        <v>16</v>
      </c>
      <c r="Y49" s="19">
        <v>848</v>
      </c>
      <c r="Z49" s="20">
        <v>88.192000000000021</v>
      </c>
    </row>
    <row r="50" spans="1:26" x14ac:dyDescent="0.25">
      <c r="A50" s="16">
        <v>1050</v>
      </c>
      <c r="B50" s="17">
        <v>41674</v>
      </c>
      <c r="C50" s="18">
        <v>4</v>
      </c>
      <c r="D50" s="18" t="s">
        <v>40</v>
      </c>
      <c r="E50" s="18" t="s">
        <v>41</v>
      </c>
      <c r="F50" s="18" t="s">
        <v>42</v>
      </c>
      <c r="G50" s="18" t="s">
        <v>43</v>
      </c>
      <c r="H50" s="18">
        <v>99999</v>
      </c>
      <c r="I50" s="18" t="s">
        <v>30</v>
      </c>
      <c r="J50" s="18" t="s">
        <v>44</v>
      </c>
      <c r="K50" s="18" t="s">
        <v>45</v>
      </c>
      <c r="L50" s="17"/>
      <c r="M50" s="18"/>
      <c r="N50" s="18" t="s">
        <v>47</v>
      </c>
      <c r="O50" s="18" t="s">
        <v>41</v>
      </c>
      <c r="P50" s="18" t="s">
        <v>42</v>
      </c>
      <c r="Q50" s="18" t="s">
        <v>43</v>
      </c>
      <c r="R50" s="18">
        <v>99999</v>
      </c>
      <c r="S50" s="18" t="s">
        <v>30</v>
      </c>
      <c r="T50" s="18"/>
      <c r="U50" s="18" t="s">
        <v>145</v>
      </c>
      <c r="V50" s="18" t="s">
        <v>132</v>
      </c>
      <c r="W50" s="19">
        <v>38</v>
      </c>
      <c r="X50" s="18">
        <v>96</v>
      </c>
      <c r="Y50" s="19">
        <v>3648</v>
      </c>
      <c r="Z50" s="20">
        <v>346.56</v>
      </c>
    </row>
    <row r="51" spans="1:26" x14ac:dyDescent="0.25">
      <c r="A51" s="16">
        <v>1051</v>
      </c>
      <c r="B51" s="17">
        <v>41673</v>
      </c>
      <c r="C51" s="18">
        <v>3</v>
      </c>
      <c r="D51" s="18" t="s">
        <v>74</v>
      </c>
      <c r="E51" s="18" t="s">
        <v>75</v>
      </c>
      <c r="F51" s="18" t="s">
        <v>76</v>
      </c>
      <c r="G51" s="18" t="s">
        <v>77</v>
      </c>
      <c r="H51" s="18">
        <v>99999</v>
      </c>
      <c r="I51" s="18" t="s">
        <v>30</v>
      </c>
      <c r="J51" s="18" t="s">
        <v>31</v>
      </c>
      <c r="K51" s="18" t="s">
        <v>32</v>
      </c>
      <c r="L51" s="18"/>
      <c r="M51" s="18"/>
      <c r="N51" s="18" t="s">
        <v>78</v>
      </c>
      <c r="O51" s="18" t="s">
        <v>75</v>
      </c>
      <c r="P51" s="18" t="s">
        <v>76</v>
      </c>
      <c r="Q51" s="18" t="s">
        <v>77</v>
      </c>
      <c r="R51" s="18">
        <v>99999</v>
      </c>
      <c r="S51" s="18" t="s">
        <v>30</v>
      </c>
      <c r="T51" s="18"/>
      <c r="U51" s="18" t="s">
        <v>103</v>
      </c>
      <c r="V51" s="18" t="s">
        <v>37</v>
      </c>
      <c r="W51" s="19">
        <v>2.99</v>
      </c>
      <c r="X51" s="18">
        <v>75</v>
      </c>
      <c r="Y51" s="19">
        <v>224.25000000000003</v>
      </c>
      <c r="Z51" s="20">
        <v>23.097750000000005</v>
      </c>
    </row>
    <row r="52" spans="1:26" x14ac:dyDescent="0.25">
      <c r="A52" s="16">
        <v>1052</v>
      </c>
      <c r="B52" s="17">
        <v>41707</v>
      </c>
      <c r="C52" s="18">
        <v>9</v>
      </c>
      <c r="D52" s="18" t="s">
        <v>125</v>
      </c>
      <c r="E52" s="18" t="s">
        <v>126</v>
      </c>
      <c r="F52" s="18" t="s">
        <v>127</v>
      </c>
      <c r="G52" s="18" t="s">
        <v>128</v>
      </c>
      <c r="H52" s="18">
        <v>99999</v>
      </c>
      <c r="I52" s="18" t="s">
        <v>30</v>
      </c>
      <c r="J52" s="18" t="s">
        <v>129</v>
      </c>
      <c r="K52" s="18" t="s">
        <v>32</v>
      </c>
      <c r="L52" s="18">
        <v>41709</v>
      </c>
      <c r="M52" s="18" t="s">
        <v>46</v>
      </c>
      <c r="N52" s="18" t="s">
        <v>130</v>
      </c>
      <c r="O52" s="18" t="s">
        <v>126</v>
      </c>
      <c r="P52" s="18" t="s">
        <v>127</v>
      </c>
      <c r="Q52" s="18" t="s">
        <v>128</v>
      </c>
      <c r="R52" s="18">
        <v>99999</v>
      </c>
      <c r="S52" s="18" t="s">
        <v>30</v>
      </c>
      <c r="T52" s="18" t="s">
        <v>35</v>
      </c>
      <c r="U52" s="18" t="s">
        <v>131</v>
      </c>
      <c r="V52" s="18" t="s">
        <v>132</v>
      </c>
      <c r="W52" s="19">
        <v>19.5</v>
      </c>
      <c r="X52" s="18">
        <v>55</v>
      </c>
      <c r="Y52" s="19">
        <v>1072.5</v>
      </c>
      <c r="Z52" s="20">
        <v>108.32250000000001</v>
      </c>
    </row>
    <row r="53" spans="1:26" x14ac:dyDescent="0.25">
      <c r="A53" s="16">
        <v>1053</v>
      </c>
      <c r="B53" s="17">
        <v>41707</v>
      </c>
      <c r="C53" s="18">
        <v>9</v>
      </c>
      <c r="D53" s="18" t="s">
        <v>125</v>
      </c>
      <c r="E53" s="18" t="s">
        <v>126</v>
      </c>
      <c r="F53" s="18" t="s">
        <v>127</v>
      </c>
      <c r="G53" s="18" t="s">
        <v>128</v>
      </c>
      <c r="H53" s="18">
        <v>99999</v>
      </c>
      <c r="I53" s="18" t="s">
        <v>30</v>
      </c>
      <c r="J53" s="18" t="s">
        <v>129</v>
      </c>
      <c r="K53" s="18" t="s">
        <v>32</v>
      </c>
      <c r="L53" s="17">
        <v>41709</v>
      </c>
      <c r="M53" s="18" t="s">
        <v>46</v>
      </c>
      <c r="N53" s="18" t="s">
        <v>130</v>
      </c>
      <c r="O53" s="18" t="s">
        <v>126</v>
      </c>
      <c r="P53" s="18" t="s">
        <v>127</v>
      </c>
      <c r="Q53" s="18" t="s">
        <v>128</v>
      </c>
      <c r="R53" s="18">
        <v>99999</v>
      </c>
      <c r="S53" s="18" t="s">
        <v>30</v>
      </c>
      <c r="T53" s="18" t="s">
        <v>35</v>
      </c>
      <c r="U53" s="18" t="s">
        <v>133</v>
      </c>
      <c r="V53" s="18" t="s">
        <v>134</v>
      </c>
      <c r="W53" s="19">
        <v>34.799999999999997</v>
      </c>
      <c r="X53" s="18">
        <v>11</v>
      </c>
      <c r="Y53" s="19">
        <v>382.79999999999995</v>
      </c>
      <c r="Z53" s="20">
        <v>36.748799999999996</v>
      </c>
    </row>
    <row r="54" spans="1:26" x14ac:dyDescent="0.25">
      <c r="A54" s="16">
        <v>1054</v>
      </c>
      <c r="B54" s="17">
        <v>41704</v>
      </c>
      <c r="C54" s="18">
        <v>6</v>
      </c>
      <c r="D54" s="18" t="s">
        <v>82</v>
      </c>
      <c r="E54" s="18" t="s">
        <v>83</v>
      </c>
      <c r="F54" s="18" t="s">
        <v>84</v>
      </c>
      <c r="G54" s="18" t="s">
        <v>85</v>
      </c>
      <c r="H54" s="18">
        <v>99999</v>
      </c>
      <c r="I54" s="18" t="s">
        <v>30</v>
      </c>
      <c r="J54" s="18" t="s">
        <v>86</v>
      </c>
      <c r="K54" s="18" t="s">
        <v>61</v>
      </c>
      <c r="L54" s="17">
        <v>41706</v>
      </c>
      <c r="M54" s="18" t="s">
        <v>33</v>
      </c>
      <c r="N54" s="18" t="s">
        <v>87</v>
      </c>
      <c r="O54" s="18" t="s">
        <v>83</v>
      </c>
      <c r="P54" s="18" t="s">
        <v>84</v>
      </c>
      <c r="Q54" s="18" t="s">
        <v>85</v>
      </c>
      <c r="R54" s="18">
        <v>99999</v>
      </c>
      <c r="S54" s="18" t="s">
        <v>30</v>
      </c>
      <c r="T54" s="18" t="s">
        <v>48</v>
      </c>
      <c r="U54" s="18" t="s">
        <v>36</v>
      </c>
      <c r="V54" s="18" t="s">
        <v>37</v>
      </c>
      <c r="W54" s="19">
        <v>14</v>
      </c>
      <c r="X54" s="18">
        <v>53</v>
      </c>
      <c r="Y54" s="19">
        <v>742</v>
      </c>
      <c r="Z54" s="20">
        <v>71.974000000000004</v>
      </c>
    </row>
    <row r="55" spans="1:26" x14ac:dyDescent="0.25">
      <c r="A55" s="16">
        <v>1055</v>
      </c>
      <c r="B55" s="17">
        <v>41706</v>
      </c>
      <c r="C55" s="18">
        <v>8</v>
      </c>
      <c r="D55" s="18" t="s">
        <v>56</v>
      </c>
      <c r="E55" s="18" t="s">
        <v>57</v>
      </c>
      <c r="F55" s="18" t="s">
        <v>58</v>
      </c>
      <c r="G55" s="18" t="s">
        <v>59</v>
      </c>
      <c r="H55" s="18">
        <v>99999</v>
      </c>
      <c r="I55" s="18" t="s">
        <v>30</v>
      </c>
      <c r="J55" s="18" t="s">
        <v>60</v>
      </c>
      <c r="K55" s="18" t="s">
        <v>61</v>
      </c>
      <c r="L55" s="17">
        <v>41708</v>
      </c>
      <c r="M55" s="18" t="s">
        <v>33</v>
      </c>
      <c r="N55" s="18" t="s">
        <v>63</v>
      </c>
      <c r="O55" s="18" t="s">
        <v>57</v>
      </c>
      <c r="P55" s="18" t="s">
        <v>58</v>
      </c>
      <c r="Q55" s="18" t="s">
        <v>59</v>
      </c>
      <c r="R55" s="18">
        <v>99999</v>
      </c>
      <c r="S55" s="18" t="s">
        <v>30</v>
      </c>
      <c r="T55" s="18" t="s">
        <v>35</v>
      </c>
      <c r="U55" s="18" t="s">
        <v>88</v>
      </c>
      <c r="V55" s="18" t="s">
        <v>89</v>
      </c>
      <c r="W55" s="19">
        <v>40</v>
      </c>
      <c r="X55" s="18">
        <v>85</v>
      </c>
      <c r="Y55" s="19">
        <v>3400</v>
      </c>
      <c r="Z55" s="20">
        <v>357</v>
      </c>
    </row>
    <row r="56" spans="1:26" x14ac:dyDescent="0.25">
      <c r="A56" s="16">
        <v>1056</v>
      </c>
      <c r="B56" s="17">
        <v>41706</v>
      </c>
      <c r="C56" s="18">
        <v>8</v>
      </c>
      <c r="D56" s="18" t="s">
        <v>56</v>
      </c>
      <c r="E56" s="18" t="s">
        <v>57</v>
      </c>
      <c r="F56" s="18" t="s">
        <v>58</v>
      </c>
      <c r="G56" s="18" t="s">
        <v>59</v>
      </c>
      <c r="H56" s="18">
        <v>99999</v>
      </c>
      <c r="I56" s="18" t="s">
        <v>30</v>
      </c>
      <c r="J56" s="18" t="s">
        <v>60</v>
      </c>
      <c r="K56" s="18" t="s">
        <v>61</v>
      </c>
      <c r="L56" s="17">
        <v>41708</v>
      </c>
      <c r="M56" s="18" t="s">
        <v>33</v>
      </c>
      <c r="N56" s="18" t="s">
        <v>63</v>
      </c>
      <c r="O56" s="18" t="s">
        <v>57</v>
      </c>
      <c r="P56" s="18" t="s">
        <v>58</v>
      </c>
      <c r="Q56" s="18" t="s">
        <v>59</v>
      </c>
      <c r="R56" s="18">
        <v>99999</v>
      </c>
      <c r="S56" s="18" t="s">
        <v>30</v>
      </c>
      <c r="T56" s="18" t="s">
        <v>35</v>
      </c>
      <c r="U56" s="18" t="s">
        <v>64</v>
      </c>
      <c r="V56" s="18" t="s">
        <v>65</v>
      </c>
      <c r="W56" s="19">
        <v>9.1999999999999993</v>
      </c>
      <c r="X56" s="18">
        <v>97</v>
      </c>
      <c r="Y56" s="19">
        <v>892.4</v>
      </c>
      <c r="Z56" s="20">
        <v>91.024800000000013</v>
      </c>
    </row>
    <row r="57" spans="1:26" x14ac:dyDescent="0.25">
      <c r="A57" s="16">
        <v>1057</v>
      </c>
      <c r="B57" s="17">
        <v>41723</v>
      </c>
      <c r="C57" s="18">
        <v>25</v>
      </c>
      <c r="D57" s="18" t="s">
        <v>137</v>
      </c>
      <c r="E57" s="18" t="s">
        <v>138</v>
      </c>
      <c r="F57" s="18" t="s">
        <v>99</v>
      </c>
      <c r="G57" s="18" t="s">
        <v>100</v>
      </c>
      <c r="H57" s="18">
        <v>99999</v>
      </c>
      <c r="I57" s="18" t="s">
        <v>30</v>
      </c>
      <c r="J57" s="18" t="s">
        <v>101</v>
      </c>
      <c r="K57" s="18" t="s">
        <v>45</v>
      </c>
      <c r="L57" s="17">
        <v>41725</v>
      </c>
      <c r="M57" s="18" t="s">
        <v>46</v>
      </c>
      <c r="N57" s="18" t="s">
        <v>139</v>
      </c>
      <c r="O57" s="18" t="s">
        <v>138</v>
      </c>
      <c r="P57" s="18" t="s">
        <v>99</v>
      </c>
      <c r="Q57" s="18" t="s">
        <v>100</v>
      </c>
      <c r="R57" s="18">
        <v>99999</v>
      </c>
      <c r="S57" s="18" t="s">
        <v>30</v>
      </c>
      <c r="T57" s="18" t="s">
        <v>79</v>
      </c>
      <c r="U57" s="18" t="s">
        <v>146</v>
      </c>
      <c r="V57" s="18" t="s">
        <v>65</v>
      </c>
      <c r="W57" s="19">
        <v>10</v>
      </c>
      <c r="X57" s="18">
        <v>46</v>
      </c>
      <c r="Y57" s="19">
        <v>460</v>
      </c>
      <c r="Z57" s="20">
        <v>46.46</v>
      </c>
    </row>
    <row r="58" spans="1:26" x14ac:dyDescent="0.25">
      <c r="A58" s="16">
        <v>1058</v>
      </c>
      <c r="B58" s="17">
        <v>41724</v>
      </c>
      <c r="C58" s="18">
        <v>26</v>
      </c>
      <c r="D58" s="18" t="s">
        <v>140</v>
      </c>
      <c r="E58" s="18" t="s">
        <v>141</v>
      </c>
      <c r="F58" s="18" t="s">
        <v>115</v>
      </c>
      <c r="G58" s="18" t="s">
        <v>116</v>
      </c>
      <c r="H58" s="18">
        <v>99999</v>
      </c>
      <c r="I58" s="18" t="s">
        <v>30</v>
      </c>
      <c r="J58" s="18" t="s">
        <v>94</v>
      </c>
      <c r="K58" s="18" t="s">
        <v>95</v>
      </c>
      <c r="L58" s="17">
        <v>41726</v>
      </c>
      <c r="M58" s="18" t="s">
        <v>62</v>
      </c>
      <c r="N58" s="18" t="s">
        <v>142</v>
      </c>
      <c r="O58" s="18" t="s">
        <v>141</v>
      </c>
      <c r="P58" s="18" t="s">
        <v>115</v>
      </c>
      <c r="Q58" s="18" t="s">
        <v>116</v>
      </c>
      <c r="R58" s="18">
        <v>99999</v>
      </c>
      <c r="S58" s="18" t="s">
        <v>30</v>
      </c>
      <c r="T58" s="18" t="s">
        <v>48</v>
      </c>
      <c r="U58" s="18" t="s">
        <v>147</v>
      </c>
      <c r="V58" s="18" t="s">
        <v>148</v>
      </c>
      <c r="W58" s="19">
        <v>21.35</v>
      </c>
      <c r="X58" s="18">
        <v>97</v>
      </c>
      <c r="Y58" s="19">
        <v>2070.9500000000003</v>
      </c>
      <c r="Z58" s="20">
        <v>196.74025</v>
      </c>
    </row>
    <row r="59" spans="1:26" x14ac:dyDescent="0.25">
      <c r="A59" s="16">
        <v>1059</v>
      </c>
      <c r="B59" s="17">
        <v>41724</v>
      </c>
      <c r="C59" s="18">
        <v>26</v>
      </c>
      <c r="D59" s="18" t="s">
        <v>140</v>
      </c>
      <c r="E59" s="18" t="s">
        <v>141</v>
      </c>
      <c r="F59" s="18" t="s">
        <v>115</v>
      </c>
      <c r="G59" s="18" t="s">
        <v>116</v>
      </c>
      <c r="H59" s="18">
        <v>99999</v>
      </c>
      <c r="I59" s="18" t="s">
        <v>30</v>
      </c>
      <c r="J59" s="18" t="s">
        <v>94</v>
      </c>
      <c r="K59" s="18" t="s">
        <v>95</v>
      </c>
      <c r="L59" s="17">
        <v>41726</v>
      </c>
      <c r="M59" s="18" t="s">
        <v>62</v>
      </c>
      <c r="N59" s="18" t="s">
        <v>142</v>
      </c>
      <c r="O59" s="18" t="s">
        <v>141</v>
      </c>
      <c r="P59" s="18" t="s">
        <v>115</v>
      </c>
      <c r="Q59" s="18" t="s">
        <v>116</v>
      </c>
      <c r="R59" s="18">
        <v>99999</v>
      </c>
      <c r="S59" s="18" t="s">
        <v>30</v>
      </c>
      <c r="T59" s="18" t="s">
        <v>48</v>
      </c>
      <c r="U59" s="18" t="s">
        <v>80</v>
      </c>
      <c r="V59" s="18" t="s">
        <v>81</v>
      </c>
      <c r="W59" s="19">
        <v>9.65</v>
      </c>
      <c r="X59" s="18">
        <v>97</v>
      </c>
      <c r="Y59" s="19">
        <v>936.05000000000007</v>
      </c>
      <c r="Z59" s="20">
        <v>95.477100000000021</v>
      </c>
    </row>
    <row r="60" spans="1:26" x14ac:dyDescent="0.25">
      <c r="A60" s="16">
        <v>1060</v>
      </c>
      <c r="B60" s="17">
        <v>41724</v>
      </c>
      <c r="C60" s="18">
        <v>26</v>
      </c>
      <c r="D60" s="18" t="s">
        <v>140</v>
      </c>
      <c r="E60" s="18" t="s">
        <v>141</v>
      </c>
      <c r="F60" s="18" t="s">
        <v>115</v>
      </c>
      <c r="G60" s="18" t="s">
        <v>116</v>
      </c>
      <c r="H60" s="18">
        <v>99999</v>
      </c>
      <c r="I60" s="18" t="s">
        <v>30</v>
      </c>
      <c r="J60" s="18" t="s">
        <v>94</v>
      </c>
      <c r="K60" s="18" t="s">
        <v>95</v>
      </c>
      <c r="L60" s="17">
        <v>41726</v>
      </c>
      <c r="M60" s="18" t="s">
        <v>62</v>
      </c>
      <c r="N60" s="18" t="s">
        <v>142</v>
      </c>
      <c r="O60" s="18" t="s">
        <v>141</v>
      </c>
      <c r="P60" s="18" t="s">
        <v>115</v>
      </c>
      <c r="Q60" s="18" t="s">
        <v>116</v>
      </c>
      <c r="R60" s="18">
        <v>99999</v>
      </c>
      <c r="S60" s="18" t="s">
        <v>30</v>
      </c>
      <c r="T60" s="18" t="s">
        <v>48</v>
      </c>
      <c r="U60" s="18" t="s">
        <v>123</v>
      </c>
      <c r="V60" s="18" t="s">
        <v>124</v>
      </c>
      <c r="W60" s="19">
        <v>18.399999999999999</v>
      </c>
      <c r="X60" s="18">
        <v>65</v>
      </c>
      <c r="Y60" s="19">
        <v>1196</v>
      </c>
      <c r="Z60" s="20">
        <v>123.18800000000002</v>
      </c>
    </row>
    <row r="61" spans="1:26" x14ac:dyDescent="0.25">
      <c r="A61" s="16">
        <v>1061</v>
      </c>
      <c r="B61" s="17">
        <v>41727</v>
      </c>
      <c r="C61" s="18">
        <v>29</v>
      </c>
      <c r="D61" s="18" t="s">
        <v>66</v>
      </c>
      <c r="E61" s="18" t="s">
        <v>67</v>
      </c>
      <c r="F61" s="18" t="s">
        <v>68</v>
      </c>
      <c r="G61" s="18" t="s">
        <v>69</v>
      </c>
      <c r="H61" s="18">
        <v>99999</v>
      </c>
      <c r="I61" s="18" t="s">
        <v>30</v>
      </c>
      <c r="J61" s="18" t="s">
        <v>70</v>
      </c>
      <c r="K61" s="18" t="s">
        <v>32</v>
      </c>
      <c r="L61" s="17">
        <v>41729</v>
      </c>
      <c r="M61" s="18" t="s">
        <v>33</v>
      </c>
      <c r="N61" s="18" t="s">
        <v>71</v>
      </c>
      <c r="O61" s="18" t="s">
        <v>67</v>
      </c>
      <c r="P61" s="18" t="s">
        <v>68</v>
      </c>
      <c r="Q61" s="18" t="s">
        <v>69</v>
      </c>
      <c r="R61" s="18">
        <v>99999</v>
      </c>
      <c r="S61" s="18" t="s">
        <v>30</v>
      </c>
      <c r="T61" s="18" t="s">
        <v>35</v>
      </c>
      <c r="U61" s="18" t="s">
        <v>36</v>
      </c>
      <c r="V61" s="18" t="s">
        <v>37</v>
      </c>
      <c r="W61" s="19">
        <v>14</v>
      </c>
      <c r="X61" s="18">
        <v>72</v>
      </c>
      <c r="Y61" s="19">
        <v>1008</v>
      </c>
      <c r="Z61" s="20">
        <v>100.80000000000001</v>
      </c>
    </row>
    <row r="62" spans="1:26" x14ac:dyDescent="0.25">
      <c r="A62" s="16">
        <v>1062</v>
      </c>
      <c r="B62" s="17">
        <v>41704</v>
      </c>
      <c r="C62" s="18">
        <v>6</v>
      </c>
      <c r="D62" s="18" t="s">
        <v>82</v>
      </c>
      <c r="E62" s="18" t="s">
        <v>83</v>
      </c>
      <c r="F62" s="18" t="s">
        <v>84</v>
      </c>
      <c r="G62" s="18" t="s">
        <v>85</v>
      </c>
      <c r="H62" s="18">
        <v>99999</v>
      </c>
      <c r="I62" s="18" t="s">
        <v>30</v>
      </c>
      <c r="J62" s="18" t="s">
        <v>86</v>
      </c>
      <c r="K62" s="18" t="s">
        <v>61</v>
      </c>
      <c r="L62" s="17">
        <v>41706</v>
      </c>
      <c r="M62" s="18" t="s">
        <v>62</v>
      </c>
      <c r="N62" s="18" t="s">
        <v>87</v>
      </c>
      <c r="O62" s="18" t="s">
        <v>83</v>
      </c>
      <c r="P62" s="18" t="s">
        <v>84</v>
      </c>
      <c r="Q62" s="18" t="s">
        <v>85</v>
      </c>
      <c r="R62" s="18">
        <v>99999</v>
      </c>
      <c r="S62" s="18" t="s">
        <v>30</v>
      </c>
      <c r="T62" s="18" t="s">
        <v>35</v>
      </c>
      <c r="U62" s="18" t="s">
        <v>72</v>
      </c>
      <c r="V62" s="18" t="s">
        <v>73</v>
      </c>
      <c r="W62" s="19">
        <v>12.75</v>
      </c>
      <c r="X62" s="18">
        <v>16</v>
      </c>
      <c r="Y62" s="19">
        <v>204</v>
      </c>
      <c r="Z62" s="20">
        <v>20.196000000000002</v>
      </c>
    </row>
    <row r="63" spans="1:26" x14ac:dyDescent="0.25">
      <c r="A63" s="16">
        <v>1064</v>
      </c>
      <c r="B63" s="17">
        <v>41702</v>
      </c>
      <c r="C63" s="18">
        <v>4</v>
      </c>
      <c r="D63" s="18" t="s">
        <v>40</v>
      </c>
      <c r="E63" s="18" t="s">
        <v>41</v>
      </c>
      <c r="F63" s="18" t="s">
        <v>42</v>
      </c>
      <c r="G63" s="18" t="s">
        <v>43</v>
      </c>
      <c r="H63" s="18">
        <v>99999</v>
      </c>
      <c r="I63" s="18" t="s">
        <v>30</v>
      </c>
      <c r="J63" s="18" t="s">
        <v>44</v>
      </c>
      <c r="K63" s="18" t="s">
        <v>45</v>
      </c>
      <c r="L63" s="17">
        <v>41704</v>
      </c>
      <c r="M63" s="18" t="s">
        <v>46</v>
      </c>
      <c r="N63" s="18" t="s">
        <v>47</v>
      </c>
      <c r="O63" s="18" t="s">
        <v>41</v>
      </c>
      <c r="P63" s="18" t="s">
        <v>42</v>
      </c>
      <c r="Q63" s="18" t="s">
        <v>43</v>
      </c>
      <c r="R63" s="18">
        <v>99999</v>
      </c>
      <c r="S63" s="18" t="s">
        <v>30</v>
      </c>
      <c r="T63" s="18" t="s">
        <v>48</v>
      </c>
      <c r="U63" s="18" t="s">
        <v>149</v>
      </c>
      <c r="V63" s="18" t="s">
        <v>110</v>
      </c>
      <c r="W63" s="19">
        <v>81</v>
      </c>
      <c r="X63" s="18">
        <v>77</v>
      </c>
      <c r="Y63" s="19">
        <v>6237</v>
      </c>
      <c r="Z63" s="20">
        <v>642.41100000000006</v>
      </c>
    </row>
    <row r="64" spans="1:26" x14ac:dyDescent="0.25">
      <c r="A64" s="16">
        <v>1065</v>
      </c>
      <c r="B64" s="17">
        <v>41702</v>
      </c>
      <c r="C64" s="18">
        <v>4</v>
      </c>
      <c r="D64" s="18" t="s">
        <v>40</v>
      </c>
      <c r="E64" s="18" t="s">
        <v>41</v>
      </c>
      <c r="F64" s="18" t="s">
        <v>42</v>
      </c>
      <c r="G64" s="18" t="s">
        <v>43</v>
      </c>
      <c r="H64" s="18">
        <v>99999</v>
      </c>
      <c r="I64" s="18" t="s">
        <v>30</v>
      </c>
      <c r="J64" s="18" t="s">
        <v>44</v>
      </c>
      <c r="K64" s="18" t="s">
        <v>45</v>
      </c>
      <c r="L64" s="17">
        <v>41704</v>
      </c>
      <c r="M64" s="18" t="s">
        <v>46</v>
      </c>
      <c r="N64" s="18" t="s">
        <v>47</v>
      </c>
      <c r="O64" s="18" t="s">
        <v>41</v>
      </c>
      <c r="P64" s="18" t="s">
        <v>42</v>
      </c>
      <c r="Q64" s="18" t="s">
        <v>43</v>
      </c>
      <c r="R64" s="18">
        <v>99999</v>
      </c>
      <c r="S64" s="18" t="s">
        <v>30</v>
      </c>
      <c r="T64" s="18" t="s">
        <v>48</v>
      </c>
      <c r="U64" s="18" t="s">
        <v>150</v>
      </c>
      <c r="V64" s="18" t="s">
        <v>151</v>
      </c>
      <c r="W64" s="19">
        <v>7</v>
      </c>
      <c r="X64" s="18">
        <v>37</v>
      </c>
      <c r="Y64" s="19">
        <v>259</v>
      </c>
      <c r="Z64" s="20">
        <v>24.605</v>
      </c>
    </row>
    <row r="65" spans="1:26" x14ac:dyDescent="0.25">
      <c r="A65" s="16">
        <v>1067</v>
      </c>
      <c r="B65" s="17">
        <v>41706</v>
      </c>
      <c r="C65" s="18">
        <v>8</v>
      </c>
      <c r="D65" s="18" t="s">
        <v>56</v>
      </c>
      <c r="E65" s="18" t="s">
        <v>57</v>
      </c>
      <c r="F65" s="18" t="s">
        <v>58</v>
      </c>
      <c r="G65" s="18" t="s">
        <v>59</v>
      </c>
      <c r="H65" s="18">
        <v>99999</v>
      </c>
      <c r="I65" s="18" t="s">
        <v>30</v>
      </c>
      <c r="J65" s="18" t="s">
        <v>60</v>
      </c>
      <c r="K65" s="18" t="s">
        <v>61</v>
      </c>
      <c r="L65" s="17">
        <v>41708</v>
      </c>
      <c r="M65" s="18" t="s">
        <v>62</v>
      </c>
      <c r="N65" s="18" t="s">
        <v>63</v>
      </c>
      <c r="O65" s="18" t="s">
        <v>57</v>
      </c>
      <c r="P65" s="18" t="s">
        <v>58</v>
      </c>
      <c r="Q65" s="18" t="s">
        <v>59</v>
      </c>
      <c r="R65" s="18">
        <v>99999</v>
      </c>
      <c r="S65" s="18" t="s">
        <v>30</v>
      </c>
      <c r="T65" s="18" t="s">
        <v>48</v>
      </c>
      <c r="U65" s="18" t="s">
        <v>133</v>
      </c>
      <c r="V65" s="18" t="s">
        <v>134</v>
      </c>
      <c r="W65" s="19">
        <v>34.799999999999997</v>
      </c>
      <c r="X65" s="18">
        <v>63</v>
      </c>
      <c r="Y65" s="19">
        <v>2192.3999999999996</v>
      </c>
      <c r="Z65" s="20">
        <v>217.04759999999999</v>
      </c>
    </row>
    <row r="66" spans="1:26" x14ac:dyDescent="0.25">
      <c r="A66" s="16">
        <v>1070</v>
      </c>
      <c r="B66" s="17">
        <v>41701</v>
      </c>
      <c r="C66" s="18">
        <v>3</v>
      </c>
      <c r="D66" s="18" t="s">
        <v>74</v>
      </c>
      <c r="E66" s="18" t="s">
        <v>75</v>
      </c>
      <c r="F66" s="18" t="s">
        <v>76</v>
      </c>
      <c r="G66" s="18" t="s">
        <v>77</v>
      </c>
      <c r="H66" s="18">
        <v>99999</v>
      </c>
      <c r="I66" s="18" t="s">
        <v>30</v>
      </c>
      <c r="J66" s="18" t="s">
        <v>31</v>
      </c>
      <c r="K66" s="18" t="s">
        <v>32</v>
      </c>
      <c r="L66" s="17">
        <v>41703</v>
      </c>
      <c r="M66" s="18" t="s">
        <v>33</v>
      </c>
      <c r="N66" s="18" t="s">
        <v>78</v>
      </c>
      <c r="O66" s="18" t="s">
        <v>75</v>
      </c>
      <c r="P66" s="18" t="s">
        <v>76</v>
      </c>
      <c r="Q66" s="18" t="s">
        <v>77</v>
      </c>
      <c r="R66" s="18">
        <v>99999</v>
      </c>
      <c r="S66" s="18" t="s">
        <v>30</v>
      </c>
      <c r="T66" s="18" t="s">
        <v>79</v>
      </c>
      <c r="U66" s="18" t="s">
        <v>135</v>
      </c>
      <c r="V66" s="18" t="s">
        <v>112</v>
      </c>
      <c r="W66" s="19">
        <v>10</v>
      </c>
      <c r="X66" s="18">
        <v>48</v>
      </c>
      <c r="Y66" s="19">
        <v>480</v>
      </c>
      <c r="Z66" s="20">
        <v>48</v>
      </c>
    </row>
    <row r="67" spans="1:26" x14ac:dyDescent="0.25">
      <c r="A67" s="16">
        <v>1071</v>
      </c>
      <c r="B67" s="17">
        <v>41701</v>
      </c>
      <c r="C67" s="18">
        <v>3</v>
      </c>
      <c r="D67" s="18" t="s">
        <v>74</v>
      </c>
      <c r="E67" s="18" t="s">
        <v>75</v>
      </c>
      <c r="F67" s="18" t="s">
        <v>76</v>
      </c>
      <c r="G67" s="18" t="s">
        <v>77</v>
      </c>
      <c r="H67" s="18">
        <v>99999</v>
      </c>
      <c r="I67" s="18" t="s">
        <v>30</v>
      </c>
      <c r="J67" s="18" t="s">
        <v>31</v>
      </c>
      <c r="K67" s="18" t="s">
        <v>32</v>
      </c>
      <c r="L67" s="17">
        <v>41703</v>
      </c>
      <c r="M67" s="18" t="s">
        <v>33</v>
      </c>
      <c r="N67" s="18" t="s">
        <v>78</v>
      </c>
      <c r="O67" s="18" t="s">
        <v>75</v>
      </c>
      <c r="P67" s="18" t="s">
        <v>76</v>
      </c>
      <c r="Q67" s="18" t="s">
        <v>77</v>
      </c>
      <c r="R67" s="18">
        <v>99999</v>
      </c>
      <c r="S67" s="18" t="s">
        <v>30</v>
      </c>
      <c r="T67" s="18" t="s">
        <v>79</v>
      </c>
      <c r="U67" s="18" t="s">
        <v>88</v>
      </c>
      <c r="V67" s="18" t="s">
        <v>89</v>
      </c>
      <c r="W67" s="19">
        <v>40</v>
      </c>
      <c r="X67" s="18">
        <v>71</v>
      </c>
      <c r="Y67" s="19">
        <v>2840</v>
      </c>
      <c r="Z67" s="20">
        <v>295.36</v>
      </c>
    </row>
    <row r="68" spans="1:26" x14ac:dyDescent="0.25">
      <c r="A68" s="16">
        <v>1075</v>
      </c>
      <c r="B68" s="17">
        <v>41708</v>
      </c>
      <c r="C68" s="18">
        <v>10</v>
      </c>
      <c r="D68" s="18" t="s">
        <v>97</v>
      </c>
      <c r="E68" s="18" t="s">
        <v>98</v>
      </c>
      <c r="F68" s="18" t="s">
        <v>99</v>
      </c>
      <c r="G68" s="18" t="s">
        <v>100</v>
      </c>
      <c r="H68" s="18">
        <v>99999</v>
      </c>
      <c r="I68" s="18" t="s">
        <v>30</v>
      </c>
      <c r="J68" s="18" t="s">
        <v>101</v>
      </c>
      <c r="K68" s="18" t="s">
        <v>45</v>
      </c>
      <c r="L68" s="17">
        <v>41710</v>
      </c>
      <c r="M68" s="18" t="s">
        <v>33</v>
      </c>
      <c r="N68" s="18" t="s">
        <v>102</v>
      </c>
      <c r="O68" s="18" t="s">
        <v>98</v>
      </c>
      <c r="P68" s="18" t="s">
        <v>99</v>
      </c>
      <c r="Q68" s="18" t="s">
        <v>100</v>
      </c>
      <c r="R68" s="18">
        <v>99999</v>
      </c>
      <c r="S68" s="18" t="s">
        <v>30</v>
      </c>
      <c r="T68" s="18" t="s">
        <v>48</v>
      </c>
      <c r="U68" s="18" t="s">
        <v>136</v>
      </c>
      <c r="V68" s="18" t="s">
        <v>39</v>
      </c>
      <c r="W68" s="19">
        <v>10</v>
      </c>
      <c r="X68" s="18">
        <v>55</v>
      </c>
      <c r="Y68" s="19">
        <v>550</v>
      </c>
      <c r="Z68" s="20">
        <v>55</v>
      </c>
    </row>
    <row r="69" spans="1:26" x14ac:dyDescent="0.25">
      <c r="A69" s="16">
        <v>1077</v>
      </c>
      <c r="B69" s="17">
        <v>41708</v>
      </c>
      <c r="C69" s="18">
        <v>10</v>
      </c>
      <c r="D69" s="18" t="s">
        <v>97</v>
      </c>
      <c r="E69" s="18" t="s">
        <v>98</v>
      </c>
      <c r="F69" s="18" t="s">
        <v>99</v>
      </c>
      <c r="G69" s="18" t="s">
        <v>100</v>
      </c>
      <c r="H69" s="18">
        <v>99999</v>
      </c>
      <c r="I69" s="18" t="s">
        <v>30</v>
      </c>
      <c r="J69" s="18" t="s">
        <v>101</v>
      </c>
      <c r="K69" s="18" t="s">
        <v>45</v>
      </c>
      <c r="L69" s="17"/>
      <c r="M69" s="18" t="s">
        <v>46</v>
      </c>
      <c r="N69" s="18" t="s">
        <v>102</v>
      </c>
      <c r="O69" s="18" t="s">
        <v>98</v>
      </c>
      <c r="P69" s="18" t="s">
        <v>99</v>
      </c>
      <c r="Q69" s="18" t="s">
        <v>100</v>
      </c>
      <c r="R69" s="18">
        <v>99999</v>
      </c>
      <c r="S69" s="18" t="s">
        <v>30</v>
      </c>
      <c r="T69" s="18"/>
      <c r="U69" s="18" t="s">
        <v>38</v>
      </c>
      <c r="V69" s="18" t="s">
        <v>39</v>
      </c>
      <c r="W69" s="19">
        <v>3.5</v>
      </c>
      <c r="X69" s="18">
        <v>21</v>
      </c>
      <c r="Y69" s="19">
        <v>73.5</v>
      </c>
      <c r="Z69" s="20">
        <v>7.3500000000000005</v>
      </c>
    </row>
    <row r="70" spans="1:26" x14ac:dyDescent="0.25">
      <c r="A70" s="16">
        <v>1078</v>
      </c>
      <c r="B70" s="17">
        <v>41709</v>
      </c>
      <c r="C70" s="18">
        <v>11</v>
      </c>
      <c r="D70" s="18" t="s">
        <v>113</v>
      </c>
      <c r="E70" s="18" t="s">
        <v>114</v>
      </c>
      <c r="F70" s="18" t="s">
        <v>115</v>
      </c>
      <c r="G70" s="18" t="s">
        <v>116</v>
      </c>
      <c r="H70" s="18">
        <v>99999</v>
      </c>
      <c r="I70" s="18" t="s">
        <v>30</v>
      </c>
      <c r="J70" s="18" t="s">
        <v>94</v>
      </c>
      <c r="K70" s="18" t="s">
        <v>95</v>
      </c>
      <c r="L70" s="17"/>
      <c r="M70" s="18" t="s">
        <v>62</v>
      </c>
      <c r="N70" s="18" t="s">
        <v>117</v>
      </c>
      <c r="O70" s="18" t="s">
        <v>114</v>
      </c>
      <c r="P70" s="18" t="s">
        <v>115</v>
      </c>
      <c r="Q70" s="18" t="s">
        <v>116</v>
      </c>
      <c r="R70" s="18">
        <v>99999</v>
      </c>
      <c r="S70" s="18" t="s">
        <v>30</v>
      </c>
      <c r="T70" s="18"/>
      <c r="U70" s="18" t="s">
        <v>88</v>
      </c>
      <c r="V70" s="18" t="s">
        <v>89</v>
      </c>
      <c r="W70" s="19">
        <v>40</v>
      </c>
      <c r="X70" s="18">
        <v>67</v>
      </c>
      <c r="Y70" s="19">
        <v>2680</v>
      </c>
      <c r="Z70" s="20">
        <v>270.68</v>
      </c>
    </row>
    <row r="71" spans="1:26" x14ac:dyDescent="0.25">
      <c r="A71" s="16">
        <v>1079</v>
      </c>
      <c r="B71" s="17">
        <v>41699</v>
      </c>
      <c r="C71" s="18">
        <v>1</v>
      </c>
      <c r="D71" s="18" t="s">
        <v>118</v>
      </c>
      <c r="E71" s="18" t="s">
        <v>119</v>
      </c>
      <c r="F71" s="18" t="s">
        <v>120</v>
      </c>
      <c r="G71" s="18" t="s">
        <v>121</v>
      </c>
      <c r="H71" s="18">
        <v>99999</v>
      </c>
      <c r="I71" s="18" t="s">
        <v>30</v>
      </c>
      <c r="J71" s="18" t="s">
        <v>60</v>
      </c>
      <c r="K71" s="18" t="s">
        <v>61</v>
      </c>
      <c r="L71" s="17"/>
      <c r="M71" s="18" t="s">
        <v>62</v>
      </c>
      <c r="N71" s="18" t="s">
        <v>122</v>
      </c>
      <c r="O71" s="18" t="s">
        <v>119</v>
      </c>
      <c r="P71" s="18" t="s">
        <v>120</v>
      </c>
      <c r="Q71" s="18" t="s">
        <v>121</v>
      </c>
      <c r="R71" s="18">
        <v>99999</v>
      </c>
      <c r="S71" s="18" t="s">
        <v>30</v>
      </c>
      <c r="T71" s="18"/>
      <c r="U71" s="18" t="s">
        <v>123</v>
      </c>
      <c r="V71" s="18" t="s">
        <v>124</v>
      </c>
      <c r="W71" s="19">
        <v>18.399999999999999</v>
      </c>
      <c r="X71" s="18">
        <v>75</v>
      </c>
      <c r="Y71" s="19">
        <v>1380</v>
      </c>
      <c r="Z71" s="20">
        <v>138</v>
      </c>
    </row>
    <row r="72" spans="1:26" x14ac:dyDescent="0.25">
      <c r="A72" s="16">
        <v>1080</v>
      </c>
      <c r="B72" s="17">
        <v>41726</v>
      </c>
      <c r="C72" s="18">
        <v>28</v>
      </c>
      <c r="D72" s="18" t="s">
        <v>90</v>
      </c>
      <c r="E72" s="18" t="s">
        <v>91</v>
      </c>
      <c r="F72" s="18" t="s">
        <v>92</v>
      </c>
      <c r="G72" s="18" t="s">
        <v>93</v>
      </c>
      <c r="H72" s="18">
        <v>99999</v>
      </c>
      <c r="I72" s="18" t="s">
        <v>30</v>
      </c>
      <c r="J72" s="18" t="s">
        <v>94</v>
      </c>
      <c r="K72" s="18" t="s">
        <v>95</v>
      </c>
      <c r="L72" s="17">
        <v>41728</v>
      </c>
      <c r="M72" s="18" t="s">
        <v>62</v>
      </c>
      <c r="N72" s="18" t="s">
        <v>96</v>
      </c>
      <c r="O72" s="18" t="s">
        <v>91</v>
      </c>
      <c r="P72" s="18" t="s">
        <v>92</v>
      </c>
      <c r="Q72" s="18" t="s">
        <v>93</v>
      </c>
      <c r="R72" s="18">
        <v>99999</v>
      </c>
      <c r="S72" s="18" t="s">
        <v>30</v>
      </c>
      <c r="T72" s="18" t="s">
        <v>48</v>
      </c>
      <c r="U72" s="18" t="s">
        <v>55</v>
      </c>
      <c r="V72" s="18" t="s">
        <v>37</v>
      </c>
      <c r="W72" s="19">
        <v>46</v>
      </c>
      <c r="X72" s="18">
        <v>17</v>
      </c>
      <c r="Y72" s="19">
        <v>782</v>
      </c>
      <c r="Z72" s="20">
        <v>80.546000000000006</v>
      </c>
    </row>
    <row r="73" spans="1:26" x14ac:dyDescent="0.25">
      <c r="A73" s="16">
        <v>1081</v>
      </c>
      <c r="B73" s="17">
        <v>41733</v>
      </c>
      <c r="C73" s="18">
        <v>4</v>
      </c>
      <c r="D73" s="18" t="s">
        <v>40</v>
      </c>
      <c r="E73" s="18" t="s">
        <v>41</v>
      </c>
      <c r="F73" s="18" t="s">
        <v>42</v>
      </c>
      <c r="G73" s="18" t="s">
        <v>43</v>
      </c>
      <c r="H73" s="18">
        <v>99999</v>
      </c>
      <c r="I73" s="18" t="s">
        <v>30</v>
      </c>
      <c r="J73" s="18" t="s">
        <v>44</v>
      </c>
      <c r="K73" s="18" t="s">
        <v>45</v>
      </c>
      <c r="L73" s="17">
        <v>41735</v>
      </c>
      <c r="M73" s="18" t="s">
        <v>46</v>
      </c>
      <c r="N73" s="18" t="s">
        <v>47</v>
      </c>
      <c r="O73" s="18" t="s">
        <v>41</v>
      </c>
      <c r="P73" s="18" t="s">
        <v>42</v>
      </c>
      <c r="Q73" s="18" t="s">
        <v>43</v>
      </c>
      <c r="R73" s="18">
        <v>99999</v>
      </c>
      <c r="S73" s="18" t="s">
        <v>30</v>
      </c>
      <c r="T73" s="18" t="s">
        <v>48</v>
      </c>
      <c r="U73" s="18" t="s">
        <v>38</v>
      </c>
      <c r="V73" s="18" t="s">
        <v>39</v>
      </c>
      <c r="W73" s="19">
        <v>3.5</v>
      </c>
      <c r="X73" s="18">
        <v>48</v>
      </c>
      <c r="Y73" s="19">
        <v>168</v>
      </c>
      <c r="Z73" s="20">
        <v>16.295999999999999</v>
      </c>
    </row>
    <row r="74" spans="1:26" x14ac:dyDescent="0.25">
      <c r="A74" s="16">
        <v>1082</v>
      </c>
      <c r="B74" s="17">
        <v>41741</v>
      </c>
      <c r="C74" s="18">
        <v>12</v>
      </c>
      <c r="D74" s="18" t="s">
        <v>51</v>
      </c>
      <c r="E74" s="18" t="s">
        <v>52</v>
      </c>
      <c r="F74" s="18" t="s">
        <v>28</v>
      </c>
      <c r="G74" s="18" t="s">
        <v>29</v>
      </c>
      <c r="H74" s="18">
        <v>99999</v>
      </c>
      <c r="I74" s="18" t="s">
        <v>30</v>
      </c>
      <c r="J74" s="18" t="s">
        <v>31</v>
      </c>
      <c r="K74" s="18" t="s">
        <v>32</v>
      </c>
      <c r="L74" s="17">
        <v>41743</v>
      </c>
      <c r="M74" s="18" t="s">
        <v>33</v>
      </c>
      <c r="N74" s="18" t="s">
        <v>53</v>
      </c>
      <c r="O74" s="18" t="s">
        <v>52</v>
      </c>
      <c r="P74" s="18" t="s">
        <v>28</v>
      </c>
      <c r="Q74" s="18" t="s">
        <v>29</v>
      </c>
      <c r="R74" s="18">
        <v>99999</v>
      </c>
      <c r="S74" s="18" t="s">
        <v>30</v>
      </c>
      <c r="T74" s="18" t="s">
        <v>48</v>
      </c>
      <c r="U74" s="18" t="s">
        <v>54</v>
      </c>
      <c r="V74" s="18" t="s">
        <v>37</v>
      </c>
      <c r="W74" s="19">
        <v>18</v>
      </c>
      <c r="X74" s="18">
        <v>74</v>
      </c>
      <c r="Y74" s="19">
        <v>1332</v>
      </c>
      <c r="Z74" s="20">
        <v>137.19600000000003</v>
      </c>
    </row>
    <row r="75" spans="1:26" x14ac:dyDescent="0.25">
      <c r="A75" s="16">
        <v>1083</v>
      </c>
      <c r="B75" s="17">
        <v>41741</v>
      </c>
      <c r="C75" s="18">
        <v>12</v>
      </c>
      <c r="D75" s="18" t="s">
        <v>51</v>
      </c>
      <c r="E75" s="18" t="s">
        <v>52</v>
      </c>
      <c r="F75" s="18" t="s">
        <v>28</v>
      </c>
      <c r="G75" s="18" t="s">
        <v>29</v>
      </c>
      <c r="H75" s="18">
        <v>99999</v>
      </c>
      <c r="I75" s="18" t="s">
        <v>30</v>
      </c>
      <c r="J75" s="18" t="s">
        <v>31</v>
      </c>
      <c r="K75" s="18" t="s">
        <v>32</v>
      </c>
      <c r="L75" s="17">
        <v>41743</v>
      </c>
      <c r="M75" s="18" t="s">
        <v>33</v>
      </c>
      <c r="N75" s="18" t="s">
        <v>53</v>
      </c>
      <c r="O75" s="18" t="s">
        <v>52</v>
      </c>
      <c r="P75" s="18" t="s">
        <v>28</v>
      </c>
      <c r="Q75" s="18" t="s">
        <v>29</v>
      </c>
      <c r="R75" s="18">
        <v>99999</v>
      </c>
      <c r="S75" s="18" t="s">
        <v>30</v>
      </c>
      <c r="T75" s="18" t="s">
        <v>48</v>
      </c>
      <c r="U75" s="18" t="s">
        <v>55</v>
      </c>
      <c r="V75" s="18" t="s">
        <v>37</v>
      </c>
      <c r="W75" s="19">
        <v>46</v>
      </c>
      <c r="X75" s="18">
        <v>96</v>
      </c>
      <c r="Y75" s="19">
        <v>4416</v>
      </c>
      <c r="Z75" s="20">
        <v>428.35200000000003</v>
      </c>
    </row>
    <row r="76" spans="1:26" x14ac:dyDescent="0.25">
      <c r="A76" s="16">
        <v>1084</v>
      </c>
      <c r="B76" s="17">
        <v>41737</v>
      </c>
      <c r="C76" s="18">
        <v>8</v>
      </c>
      <c r="D76" s="18" t="s">
        <v>56</v>
      </c>
      <c r="E76" s="18" t="s">
        <v>57</v>
      </c>
      <c r="F76" s="18" t="s">
        <v>58</v>
      </c>
      <c r="G76" s="18" t="s">
        <v>59</v>
      </c>
      <c r="H76" s="18">
        <v>99999</v>
      </c>
      <c r="I76" s="18" t="s">
        <v>30</v>
      </c>
      <c r="J76" s="18" t="s">
        <v>60</v>
      </c>
      <c r="K76" s="18" t="s">
        <v>61</v>
      </c>
      <c r="L76" s="17">
        <v>41739</v>
      </c>
      <c r="M76" s="18" t="s">
        <v>62</v>
      </c>
      <c r="N76" s="18" t="s">
        <v>63</v>
      </c>
      <c r="O76" s="18" t="s">
        <v>57</v>
      </c>
      <c r="P76" s="18" t="s">
        <v>58</v>
      </c>
      <c r="Q76" s="18" t="s">
        <v>59</v>
      </c>
      <c r="R76" s="18">
        <v>99999</v>
      </c>
      <c r="S76" s="18" t="s">
        <v>30</v>
      </c>
      <c r="T76" s="18" t="s">
        <v>48</v>
      </c>
      <c r="U76" s="18" t="s">
        <v>64</v>
      </c>
      <c r="V76" s="18" t="s">
        <v>65</v>
      </c>
      <c r="W76" s="19">
        <v>9.1999999999999993</v>
      </c>
      <c r="X76" s="18">
        <v>12</v>
      </c>
      <c r="Y76" s="19">
        <v>110.39999999999999</v>
      </c>
      <c r="Z76" s="20">
        <v>11.3712</v>
      </c>
    </row>
    <row r="77" spans="1:26" x14ac:dyDescent="0.25">
      <c r="A77" s="16">
        <v>1085</v>
      </c>
      <c r="B77" s="17">
        <v>41733</v>
      </c>
      <c r="C77" s="18">
        <v>4</v>
      </c>
      <c r="D77" s="18" t="s">
        <v>40</v>
      </c>
      <c r="E77" s="18" t="s">
        <v>41</v>
      </c>
      <c r="F77" s="18" t="s">
        <v>42</v>
      </c>
      <c r="G77" s="18" t="s">
        <v>43</v>
      </c>
      <c r="H77" s="18">
        <v>99999</v>
      </c>
      <c r="I77" s="18" t="s">
        <v>30</v>
      </c>
      <c r="J77" s="18" t="s">
        <v>44</v>
      </c>
      <c r="K77" s="18" t="s">
        <v>45</v>
      </c>
      <c r="L77" s="18">
        <v>41735</v>
      </c>
      <c r="M77" s="18" t="s">
        <v>62</v>
      </c>
      <c r="N77" s="18" t="s">
        <v>47</v>
      </c>
      <c r="O77" s="18" t="s">
        <v>41</v>
      </c>
      <c r="P77" s="18" t="s">
        <v>42</v>
      </c>
      <c r="Q77" s="18" t="s">
        <v>43</v>
      </c>
      <c r="R77" s="18">
        <v>99999</v>
      </c>
      <c r="S77" s="18" t="s">
        <v>30</v>
      </c>
      <c r="T77" s="18" t="s">
        <v>35</v>
      </c>
      <c r="U77" s="18" t="s">
        <v>64</v>
      </c>
      <c r="V77" s="18" t="s">
        <v>65</v>
      </c>
      <c r="W77" s="19">
        <v>9.1999999999999993</v>
      </c>
      <c r="X77" s="18">
        <v>62</v>
      </c>
      <c r="Y77" s="19">
        <v>570.4</v>
      </c>
      <c r="Z77" s="20">
        <v>58.751199999999997</v>
      </c>
    </row>
    <row r="78" spans="1:26" x14ac:dyDescent="0.25">
      <c r="A78" s="16">
        <v>1086</v>
      </c>
      <c r="B78" s="17">
        <v>41758</v>
      </c>
      <c r="C78" s="18">
        <v>29</v>
      </c>
      <c r="D78" s="18" t="s">
        <v>66</v>
      </c>
      <c r="E78" s="18" t="s">
        <v>67</v>
      </c>
      <c r="F78" s="18" t="s">
        <v>68</v>
      </c>
      <c r="G78" s="18" t="s">
        <v>69</v>
      </c>
      <c r="H78" s="18">
        <v>99999</v>
      </c>
      <c r="I78" s="18" t="s">
        <v>30</v>
      </c>
      <c r="J78" s="18" t="s">
        <v>70</v>
      </c>
      <c r="K78" s="18" t="s">
        <v>32</v>
      </c>
      <c r="L78" s="18">
        <v>41760</v>
      </c>
      <c r="M78" s="18" t="s">
        <v>33</v>
      </c>
      <c r="N78" s="18" t="s">
        <v>71</v>
      </c>
      <c r="O78" s="18" t="s">
        <v>67</v>
      </c>
      <c r="P78" s="18" t="s">
        <v>68</v>
      </c>
      <c r="Q78" s="18" t="s">
        <v>69</v>
      </c>
      <c r="R78" s="18">
        <v>99999</v>
      </c>
      <c r="S78" s="18" t="s">
        <v>30</v>
      </c>
      <c r="T78" s="18" t="s">
        <v>35</v>
      </c>
      <c r="U78" s="18" t="s">
        <v>72</v>
      </c>
      <c r="V78" s="18" t="s">
        <v>73</v>
      </c>
      <c r="W78" s="19">
        <v>12.75</v>
      </c>
      <c r="X78" s="18">
        <v>35</v>
      </c>
      <c r="Y78" s="19">
        <v>446.25</v>
      </c>
      <c r="Z78" s="20">
        <v>45.963750000000005</v>
      </c>
    </row>
    <row r="79" spans="1:26" x14ac:dyDescent="0.25">
      <c r="A79" s="16">
        <v>1087</v>
      </c>
      <c r="B79" s="17">
        <v>41732</v>
      </c>
      <c r="C79" s="18">
        <v>3</v>
      </c>
      <c r="D79" s="18" t="s">
        <v>74</v>
      </c>
      <c r="E79" s="18" t="s">
        <v>75</v>
      </c>
      <c r="F79" s="18" t="s">
        <v>76</v>
      </c>
      <c r="G79" s="18" t="s">
        <v>77</v>
      </c>
      <c r="H79" s="18">
        <v>99999</v>
      </c>
      <c r="I79" s="18" t="s">
        <v>30</v>
      </c>
      <c r="J79" s="18" t="s">
        <v>31</v>
      </c>
      <c r="K79" s="18" t="s">
        <v>32</v>
      </c>
      <c r="L79" s="18">
        <v>41734</v>
      </c>
      <c r="M79" s="18" t="s">
        <v>33</v>
      </c>
      <c r="N79" s="18" t="s">
        <v>78</v>
      </c>
      <c r="O79" s="18" t="s">
        <v>75</v>
      </c>
      <c r="P79" s="18" t="s">
        <v>76</v>
      </c>
      <c r="Q79" s="18" t="s">
        <v>77</v>
      </c>
      <c r="R79" s="18">
        <v>99999</v>
      </c>
      <c r="S79" s="18" t="s">
        <v>30</v>
      </c>
      <c r="T79" s="18" t="s">
        <v>79</v>
      </c>
      <c r="U79" s="18" t="s">
        <v>80</v>
      </c>
      <c r="V79" s="18" t="s">
        <v>81</v>
      </c>
      <c r="W79" s="19">
        <v>9.65</v>
      </c>
      <c r="X79" s="18">
        <v>95</v>
      </c>
      <c r="Y79" s="19">
        <v>916.75</v>
      </c>
      <c r="Z79" s="20">
        <v>91.675000000000011</v>
      </c>
    </row>
    <row r="80" spans="1:26" x14ac:dyDescent="0.25">
      <c r="A80" s="16">
        <v>1088</v>
      </c>
      <c r="B80" s="17">
        <v>41735</v>
      </c>
      <c r="C80" s="18">
        <v>6</v>
      </c>
      <c r="D80" s="18" t="s">
        <v>82</v>
      </c>
      <c r="E80" s="18" t="s">
        <v>83</v>
      </c>
      <c r="F80" s="18" t="s">
        <v>84</v>
      </c>
      <c r="G80" s="18" t="s">
        <v>85</v>
      </c>
      <c r="H80" s="18">
        <v>99999</v>
      </c>
      <c r="I80" s="18" t="s">
        <v>30</v>
      </c>
      <c r="J80" s="18" t="s">
        <v>86</v>
      </c>
      <c r="K80" s="18" t="s">
        <v>61</v>
      </c>
      <c r="L80" s="18">
        <v>41737</v>
      </c>
      <c r="M80" s="18" t="s">
        <v>33</v>
      </c>
      <c r="N80" s="18" t="s">
        <v>87</v>
      </c>
      <c r="O80" s="18" t="s">
        <v>83</v>
      </c>
      <c r="P80" s="18" t="s">
        <v>84</v>
      </c>
      <c r="Q80" s="18" t="s">
        <v>85</v>
      </c>
      <c r="R80" s="18">
        <v>99999</v>
      </c>
      <c r="S80" s="18" t="s">
        <v>30</v>
      </c>
      <c r="T80" s="18" t="s">
        <v>48</v>
      </c>
      <c r="U80" s="18" t="s">
        <v>88</v>
      </c>
      <c r="V80" s="18" t="s">
        <v>89</v>
      </c>
      <c r="W80" s="19">
        <v>40</v>
      </c>
      <c r="X80" s="18">
        <v>17</v>
      </c>
      <c r="Y80" s="19">
        <v>680</v>
      </c>
      <c r="Z80" s="20">
        <v>68.680000000000007</v>
      </c>
    </row>
    <row r="81" spans="1:26" x14ac:dyDescent="0.25">
      <c r="A81" s="16">
        <v>1089</v>
      </c>
      <c r="B81" s="17">
        <v>41757</v>
      </c>
      <c r="C81" s="18">
        <v>28</v>
      </c>
      <c r="D81" s="18" t="s">
        <v>90</v>
      </c>
      <c r="E81" s="18" t="s">
        <v>91</v>
      </c>
      <c r="F81" s="18" t="s">
        <v>92</v>
      </c>
      <c r="G81" s="18" t="s">
        <v>93</v>
      </c>
      <c r="H81" s="18">
        <v>99999</v>
      </c>
      <c r="I81" s="18" t="s">
        <v>30</v>
      </c>
      <c r="J81" s="18" t="s">
        <v>94</v>
      </c>
      <c r="K81" s="18" t="s">
        <v>95</v>
      </c>
      <c r="L81" s="17">
        <v>41759</v>
      </c>
      <c r="M81" s="18" t="s">
        <v>62</v>
      </c>
      <c r="N81" s="18" t="s">
        <v>96</v>
      </c>
      <c r="O81" s="18" t="s">
        <v>91</v>
      </c>
      <c r="P81" s="18" t="s">
        <v>92</v>
      </c>
      <c r="Q81" s="18" t="s">
        <v>93</v>
      </c>
      <c r="R81" s="18">
        <v>99999</v>
      </c>
      <c r="S81" s="18" t="s">
        <v>30</v>
      </c>
      <c r="T81" s="18" t="s">
        <v>35</v>
      </c>
      <c r="U81" s="18" t="s">
        <v>55</v>
      </c>
      <c r="V81" s="18" t="s">
        <v>37</v>
      </c>
      <c r="W81" s="19">
        <v>46</v>
      </c>
      <c r="X81" s="18">
        <v>96</v>
      </c>
      <c r="Y81" s="19">
        <v>4416</v>
      </c>
      <c r="Z81" s="20">
        <v>463.68000000000006</v>
      </c>
    </row>
    <row r="82" spans="1:26" x14ac:dyDescent="0.25">
      <c r="A82" s="16">
        <v>1090</v>
      </c>
      <c r="B82" s="17">
        <v>41737</v>
      </c>
      <c r="C82" s="18">
        <v>8</v>
      </c>
      <c r="D82" s="18" t="s">
        <v>56</v>
      </c>
      <c r="E82" s="18" t="s">
        <v>57</v>
      </c>
      <c r="F82" s="18" t="s">
        <v>58</v>
      </c>
      <c r="G82" s="18" t="s">
        <v>59</v>
      </c>
      <c r="H82" s="18">
        <v>99999</v>
      </c>
      <c r="I82" s="18" t="s">
        <v>30</v>
      </c>
      <c r="J82" s="18" t="s">
        <v>60</v>
      </c>
      <c r="K82" s="18" t="s">
        <v>61</v>
      </c>
      <c r="L82" s="17">
        <v>41739</v>
      </c>
      <c r="M82" s="18" t="s">
        <v>62</v>
      </c>
      <c r="N82" s="18" t="s">
        <v>63</v>
      </c>
      <c r="O82" s="18" t="s">
        <v>57</v>
      </c>
      <c r="P82" s="18" t="s">
        <v>58</v>
      </c>
      <c r="Q82" s="18" t="s">
        <v>59</v>
      </c>
      <c r="R82" s="18">
        <v>99999</v>
      </c>
      <c r="S82" s="18" t="s">
        <v>30</v>
      </c>
      <c r="T82" s="18" t="s">
        <v>35</v>
      </c>
      <c r="U82" s="18" t="s">
        <v>72</v>
      </c>
      <c r="V82" s="18" t="s">
        <v>73</v>
      </c>
      <c r="W82" s="19">
        <v>12.75</v>
      </c>
      <c r="X82" s="18">
        <v>83</v>
      </c>
      <c r="Y82" s="19">
        <v>1058.25</v>
      </c>
      <c r="Z82" s="20">
        <v>102.65025</v>
      </c>
    </row>
    <row r="83" spans="1:26" x14ac:dyDescent="0.25">
      <c r="A83" s="16">
        <v>1091</v>
      </c>
      <c r="B83" s="17">
        <v>41739</v>
      </c>
      <c r="C83" s="18">
        <v>10</v>
      </c>
      <c r="D83" s="18" t="s">
        <v>97</v>
      </c>
      <c r="E83" s="18" t="s">
        <v>98</v>
      </c>
      <c r="F83" s="18" t="s">
        <v>99</v>
      </c>
      <c r="G83" s="18" t="s">
        <v>100</v>
      </c>
      <c r="H83" s="18">
        <v>99999</v>
      </c>
      <c r="I83" s="18" t="s">
        <v>30</v>
      </c>
      <c r="J83" s="18" t="s">
        <v>101</v>
      </c>
      <c r="K83" s="18" t="s">
        <v>45</v>
      </c>
      <c r="L83" s="17">
        <v>41741</v>
      </c>
      <c r="M83" s="18" t="s">
        <v>33</v>
      </c>
      <c r="N83" s="18" t="s">
        <v>102</v>
      </c>
      <c r="O83" s="18" t="s">
        <v>98</v>
      </c>
      <c r="P83" s="18" t="s">
        <v>99</v>
      </c>
      <c r="Q83" s="18" t="s">
        <v>100</v>
      </c>
      <c r="R83" s="18">
        <v>99999</v>
      </c>
      <c r="S83" s="18" t="s">
        <v>30</v>
      </c>
      <c r="T83" s="18" t="s">
        <v>48</v>
      </c>
      <c r="U83" s="18" t="s">
        <v>103</v>
      </c>
      <c r="V83" s="18" t="s">
        <v>37</v>
      </c>
      <c r="W83" s="19">
        <v>2.99</v>
      </c>
      <c r="X83" s="18">
        <v>88</v>
      </c>
      <c r="Y83" s="19">
        <v>263.12</v>
      </c>
      <c r="Z83" s="20">
        <v>26.04888</v>
      </c>
    </row>
    <row r="84" spans="1:26" x14ac:dyDescent="0.25">
      <c r="A84" s="16">
        <v>1092</v>
      </c>
      <c r="B84" s="17">
        <v>41736</v>
      </c>
      <c r="C84" s="18">
        <v>7</v>
      </c>
      <c r="D84" s="18" t="s">
        <v>104</v>
      </c>
      <c r="E84" s="18" t="s">
        <v>105</v>
      </c>
      <c r="F84" s="18" t="s">
        <v>106</v>
      </c>
      <c r="G84" s="18" t="s">
        <v>107</v>
      </c>
      <c r="H84" s="18">
        <v>99999</v>
      </c>
      <c r="I84" s="18" t="s">
        <v>30</v>
      </c>
      <c r="J84" s="18" t="s">
        <v>60</v>
      </c>
      <c r="K84" s="18" t="s">
        <v>61</v>
      </c>
      <c r="L84" s="17"/>
      <c r="M84" s="18"/>
      <c r="N84" s="18" t="s">
        <v>108</v>
      </c>
      <c r="O84" s="18" t="s">
        <v>105</v>
      </c>
      <c r="P84" s="18" t="s">
        <v>106</v>
      </c>
      <c r="Q84" s="18" t="s">
        <v>107</v>
      </c>
      <c r="R84" s="18">
        <v>99999</v>
      </c>
      <c r="S84" s="18" t="s">
        <v>30</v>
      </c>
      <c r="T84" s="18"/>
      <c r="U84" s="18" t="s">
        <v>55</v>
      </c>
      <c r="V84" s="18" t="s">
        <v>37</v>
      </c>
      <c r="W84" s="19">
        <v>46</v>
      </c>
      <c r="X84" s="18">
        <v>59</v>
      </c>
      <c r="Y84" s="19">
        <v>2714</v>
      </c>
      <c r="Z84" s="20">
        <v>284.97000000000003</v>
      </c>
    </row>
    <row r="85" spans="1:26" x14ac:dyDescent="0.25">
      <c r="A85" s="16">
        <v>1093</v>
      </c>
      <c r="B85" s="17">
        <v>41739</v>
      </c>
      <c r="C85" s="18">
        <v>10</v>
      </c>
      <c r="D85" s="18" t="s">
        <v>97</v>
      </c>
      <c r="E85" s="18" t="s">
        <v>98</v>
      </c>
      <c r="F85" s="18" t="s">
        <v>99</v>
      </c>
      <c r="G85" s="18" t="s">
        <v>100</v>
      </c>
      <c r="H85" s="18">
        <v>99999</v>
      </c>
      <c r="I85" s="18" t="s">
        <v>30</v>
      </c>
      <c r="J85" s="18" t="s">
        <v>101</v>
      </c>
      <c r="K85" s="18" t="s">
        <v>45</v>
      </c>
      <c r="L85" s="17">
        <v>41741</v>
      </c>
      <c r="M85" s="18" t="s">
        <v>46</v>
      </c>
      <c r="N85" s="18" t="s">
        <v>102</v>
      </c>
      <c r="O85" s="18" t="s">
        <v>98</v>
      </c>
      <c r="P85" s="18" t="s">
        <v>99</v>
      </c>
      <c r="Q85" s="18" t="s">
        <v>100</v>
      </c>
      <c r="R85" s="18">
        <v>99999</v>
      </c>
      <c r="S85" s="18" t="s">
        <v>30</v>
      </c>
      <c r="T85" s="18"/>
      <c r="U85" s="18" t="s">
        <v>109</v>
      </c>
      <c r="V85" s="18" t="s">
        <v>110</v>
      </c>
      <c r="W85" s="19">
        <v>25</v>
      </c>
      <c r="X85" s="18">
        <v>27</v>
      </c>
      <c r="Y85" s="19">
        <v>675</v>
      </c>
      <c r="Z85" s="20">
        <v>68.849999999999994</v>
      </c>
    </row>
    <row r="86" spans="1:26" x14ac:dyDescent="0.25">
      <c r="A86" s="16">
        <v>1094</v>
      </c>
      <c r="B86" s="17">
        <v>41739</v>
      </c>
      <c r="C86" s="18">
        <v>10</v>
      </c>
      <c r="D86" s="18" t="s">
        <v>97</v>
      </c>
      <c r="E86" s="18" t="s">
        <v>98</v>
      </c>
      <c r="F86" s="18" t="s">
        <v>99</v>
      </c>
      <c r="G86" s="18" t="s">
        <v>100</v>
      </c>
      <c r="H86" s="18">
        <v>99999</v>
      </c>
      <c r="I86" s="18" t="s">
        <v>30</v>
      </c>
      <c r="J86" s="18" t="s">
        <v>101</v>
      </c>
      <c r="K86" s="18" t="s">
        <v>45</v>
      </c>
      <c r="L86" s="17">
        <v>41741</v>
      </c>
      <c r="M86" s="18" t="s">
        <v>46</v>
      </c>
      <c r="N86" s="18" t="s">
        <v>102</v>
      </c>
      <c r="O86" s="18" t="s">
        <v>98</v>
      </c>
      <c r="P86" s="18" t="s">
        <v>99</v>
      </c>
      <c r="Q86" s="18" t="s">
        <v>100</v>
      </c>
      <c r="R86" s="18">
        <v>99999</v>
      </c>
      <c r="S86" s="18" t="s">
        <v>30</v>
      </c>
      <c r="T86" s="18"/>
      <c r="U86" s="18" t="s">
        <v>111</v>
      </c>
      <c r="V86" s="18" t="s">
        <v>112</v>
      </c>
      <c r="W86" s="19">
        <v>22</v>
      </c>
      <c r="X86" s="18">
        <v>37</v>
      </c>
      <c r="Y86" s="19">
        <v>814</v>
      </c>
      <c r="Z86" s="20">
        <v>85.470000000000013</v>
      </c>
    </row>
    <row r="87" spans="1:26" x14ac:dyDescent="0.25">
      <c r="A87" s="16">
        <v>1095</v>
      </c>
      <c r="B87" s="17">
        <v>41739</v>
      </c>
      <c r="C87" s="18">
        <v>10</v>
      </c>
      <c r="D87" s="18" t="s">
        <v>97</v>
      </c>
      <c r="E87" s="18" t="s">
        <v>98</v>
      </c>
      <c r="F87" s="18" t="s">
        <v>99</v>
      </c>
      <c r="G87" s="18" t="s">
        <v>100</v>
      </c>
      <c r="H87" s="18">
        <v>99999</v>
      </c>
      <c r="I87" s="18" t="s">
        <v>30</v>
      </c>
      <c r="J87" s="18" t="s">
        <v>101</v>
      </c>
      <c r="K87" s="18" t="s">
        <v>45</v>
      </c>
      <c r="L87" s="17">
        <v>41741</v>
      </c>
      <c r="M87" s="18" t="s">
        <v>46</v>
      </c>
      <c r="N87" s="18" t="s">
        <v>102</v>
      </c>
      <c r="O87" s="18" t="s">
        <v>98</v>
      </c>
      <c r="P87" s="18" t="s">
        <v>99</v>
      </c>
      <c r="Q87" s="18" t="s">
        <v>100</v>
      </c>
      <c r="R87" s="18">
        <v>99999</v>
      </c>
      <c r="S87" s="18" t="s">
        <v>30</v>
      </c>
      <c r="T87" s="18"/>
      <c r="U87" s="18" t="s">
        <v>64</v>
      </c>
      <c r="V87" s="18" t="s">
        <v>65</v>
      </c>
      <c r="W87" s="19">
        <v>9.1999999999999993</v>
      </c>
      <c r="X87" s="18">
        <v>75</v>
      </c>
      <c r="Y87" s="19">
        <v>690</v>
      </c>
      <c r="Z87" s="20">
        <v>69</v>
      </c>
    </row>
    <row r="88" spans="1:26" x14ac:dyDescent="0.25">
      <c r="A88" s="16">
        <v>1096</v>
      </c>
      <c r="B88" s="17">
        <v>41740</v>
      </c>
      <c r="C88" s="18">
        <v>11</v>
      </c>
      <c r="D88" s="18" t="s">
        <v>113</v>
      </c>
      <c r="E88" s="18" t="s">
        <v>114</v>
      </c>
      <c r="F88" s="18" t="s">
        <v>115</v>
      </c>
      <c r="G88" s="18" t="s">
        <v>116</v>
      </c>
      <c r="H88" s="18">
        <v>99999</v>
      </c>
      <c r="I88" s="18" t="s">
        <v>30</v>
      </c>
      <c r="J88" s="18" t="s">
        <v>94</v>
      </c>
      <c r="K88" s="18" t="s">
        <v>95</v>
      </c>
      <c r="L88" s="17"/>
      <c r="M88" s="18" t="s">
        <v>62</v>
      </c>
      <c r="N88" s="18" t="s">
        <v>117</v>
      </c>
      <c r="O88" s="18" t="s">
        <v>114</v>
      </c>
      <c r="P88" s="18" t="s">
        <v>115</v>
      </c>
      <c r="Q88" s="18" t="s">
        <v>116</v>
      </c>
      <c r="R88" s="18">
        <v>99999</v>
      </c>
      <c r="S88" s="18" t="s">
        <v>30</v>
      </c>
      <c r="T88" s="18"/>
      <c r="U88" s="18" t="s">
        <v>38</v>
      </c>
      <c r="V88" s="18" t="s">
        <v>39</v>
      </c>
      <c r="W88" s="19">
        <v>3.5</v>
      </c>
      <c r="X88" s="18">
        <v>71</v>
      </c>
      <c r="Y88" s="19">
        <v>248.5</v>
      </c>
      <c r="Z88" s="20">
        <v>24.104500000000002</v>
      </c>
    </row>
    <row r="89" spans="1:26" x14ac:dyDescent="0.25">
      <c r="A89" s="16">
        <v>1097</v>
      </c>
      <c r="B89" s="17">
        <v>41740</v>
      </c>
      <c r="C89" s="18">
        <v>11</v>
      </c>
      <c r="D89" s="18" t="s">
        <v>113</v>
      </c>
      <c r="E89" s="18" t="s">
        <v>114</v>
      </c>
      <c r="F89" s="18" t="s">
        <v>115</v>
      </c>
      <c r="G89" s="18" t="s">
        <v>116</v>
      </c>
      <c r="H89" s="18">
        <v>99999</v>
      </c>
      <c r="I89" s="18" t="s">
        <v>30</v>
      </c>
      <c r="J89" s="18" t="s">
        <v>94</v>
      </c>
      <c r="K89" s="18" t="s">
        <v>95</v>
      </c>
      <c r="L89" s="17"/>
      <c r="M89" s="18" t="s">
        <v>62</v>
      </c>
      <c r="N89" s="18" t="s">
        <v>117</v>
      </c>
      <c r="O89" s="18" t="s">
        <v>114</v>
      </c>
      <c r="P89" s="18" t="s">
        <v>115</v>
      </c>
      <c r="Q89" s="18" t="s">
        <v>116</v>
      </c>
      <c r="R89" s="18">
        <v>99999</v>
      </c>
      <c r="S89" s="18" t="s">
        <v>30</v>
      </c>
      <c r="T89" s="18"/>
      <c r="U89" s="18" t="s">
        <v>103</v>
      </c>
      <c r="V89" s="18" t="s">
        <v>37</v>
      </c>
      <c r="W89" s="19">
        <v>2.99</v>
      </c>
      <c r="X89" s="18">
        <v>88</v>
      </c>
      <c r="Y89" s="19">
        <v>263.12</v>
      </c>
      <c r="Z89" s="20">
        <v>26.04888</v>
      </c>
    </row>
    <row r="90" spans="1:26" x14ac:dyDescent="0.25">
      <c r="A90" s="16">
        <v>1098</v>
      </c>
      <c r="B90" s="17">
        <v>41730</v>
      </c>
      <c r="C90" s="18">
        <v>1</v>
      </c>
      <c r="D90" s="18" t="s">
        <v>118</v>
      </c>
      <c r="E90" s="18" t="s">
        <v>119</v>
      </c>
      <c r="F90" s="18" t="s">
        <v>120</v>
      </c>
      <c r="G90" s="18" t="s">
        <v>121</v>
      </c>
      <c r="H90" s="18">
        <v>99999</v>
      </c>
      <c r="I90" s="18" t="s">
        <v>30</v>
      </c>
      <c r="J90" s="18" t="s">
        <v>60</v>
      </c>
      <c r="K90" s="18" t="s">
        <v>61</v>
      </c>
      <c r="L90" s="17"/>
      <c r="M90" s="18"/>
      <c r="N90" s="18" t="s">
        <v>122</v>
      </c>
      <c r="O90" s="18" t="s">
        <v>119</v>
      </c>
      <c r="P90" s="18" t="s">
        <v>120</v>
      </c>
      <c r="Q90" s="18" t="s">
        <v>121</v>
      </c>
      <c r="R90" s="18">
        <v>99999</v>
      </c>
      <c r="S90" s="18" t="s">
        <v>30</v>
      </c>
      <c r="T90" s="18"/>
      <c r="U90" s="18" t="s">
        <v>54</v>
      </c>
      <c r="V90" s="18" t="s">
        <v>37</v>
      </c>
      <c r="W90" s="19">
        <v>18</v>
      </c>
      <c r="X90" s="18">
        <v>55</v>
      </c>
      <c r="Y90" s="19">
        <v>990</v>
      </c>
      <c r="Z90" s="20">
        <v>97.02</v>
      </c>
    </row>
    <row r="91" spans="1:26" x14ac:dyDescent="0.25">
      <c r="A91" s="16">
        <v>1099</v>
      </c>
      <c r="B91" s="17">
        <v>41788</v>
      </c>
      <c r="C91" s="18">
        <v>29</v>
      </c>
      <c r="D91" s="18" t="s">
        <v>66</v>
      </c>
      <c r="E91" s="18" t="s">
        <v>67</v>
      </c>
      <c r="F91" s="18" t="s">
        <v>68</v>
      </c>
      <c r="G91" s="18" t="s">
        <v>69</v>
      </c>
      <c r="H91" s="18">
        <v>99999</v>
      </c>
      <c r="I91" s="18" t="s">
        <v>30</v>
      </c>
      <c r="J91" s="18" t="s">
        <v>70</v>
      </c>
      <c r="K91" s="18" t="s">
        <v>32</v>
      </c>
      <c r="L91" s="17">
        <v>41790</v>
      </c>
      <c r="M91" s="18" t="s">
        <v>33</v>
      </c>
      <c r="N91" s="18" t="s">
        <v>71</v>
      </c>
      <c r="O91" s="18" t="s">
        <v>67</v>
      </c>
      <c r="P91" s="18" t="s">
        <v>68</v>
      </c>
      <c r="Q91" s="18" t="s">
        <v>69</v>
      </c>
      <c r="R91" s="18">
        <v>99999</v>
      </c>
      <c r="S91" s="18" t="s">
        <v>30</v>
      </c>
      <c r="T91" s="18" t="s">
        <v>35</v>
      </c>
      <c r="U91" s="18" t="s">
        <v>72</v>
      </c>
      <c r="V91" s="18" t="s">
        <v>73</v>
      </c>
      <c r="W91" s="19">
        <v>12.75</v>
      </c>
      <c r="X91" s="18">
        <v>14</v>
      </c>
      <c r="Y91" s="19">
        <v>178.5</v>
      </c>
      <c r="Z91" s="20">
        <v>16.9575</v>
      </c>
    </row>
    <row r="92" spans="1:26" x14ac:dyDescent="0.25">
      <c r="A92" s="16">
        <v>1100</v>
      </c>
      <c r="B92" s="17">
        <v>41762</v>
      </c>
      <c r="C92" s="18">
        <v>3</v>
      </c>
      <c r="D92" s="18" t="s">
        <v>74</v>
      </c>
      <c r="E92" s="18" t="s">
        <v>75</v>
      </c>
      <c r="F92" s="18" t="s">
        <v>76</v>
      </c>
      <c r="G92" s="18" t="s">
        <v>77</v>
      </c>
      <c r="H92" s="18">
        <v>99999</v>
      </c>
      <c r="I92" s="18" t="s">
        <v>30</v>
      </c>
      <c r="J92" s="18" t="s">
        <v>31</v>
      </c>
      <c r="K92" s="18" t="s">
        <v>32</v>
      </c>
      <c r="L92" s="17">
        <v>41764</v>
      </c>
      <c r="M92" s="18" t="s">
        <v>33</v>
      </c>
      <c r="N92" s="18" t="s">
        <v>78</v>
      </c>
      <c r="O92" s="18" t="s">
        <v>75</v>
      </c>
      <c r="P92" s="18" t="s">
        <v>76</v>
      </c>
      <c r="Q92" s="18" t="s">
        <v>77</v>
      </c>
      <c r="R92" s="18">
        <v>99999</v>
      </c>
      <c r="S92" s="18" t="s">
        <v>30</v>
      </c>
      <c r="T92" s="18" t="s">
        <v>79</v>
      </c>
      <c r="U92" s="18" t="s">
        <v>80</v>
      </c>
      <c r="V92" s="18" t="s">
        <v>81</v>
      </c>
      <c r="W92" s="19">
        <v>9.65</v>
      </c>
      <c r="X92" s="18">
        <v>43</v>
      </c>
      <c r="Y92" s="19">
        <v>414.95</v>
      </c>
      <c r="Z92" s="20">
        <v>42.324900000000007</v>
      </c>
    </row>
    <row r="93" spans="1:26" x14ac:dyDescent="0.25">
      <c r="A93" s="16">
        <v>1101</v>
      </c>
      <c r="B93" s="17">
        <v>41765</v>
      </c>
      <c r="C93" s="18">
        <v>6</v>
      </c>
      <c r="D93" s="18" t="s">
        <v>82</v>
      </c>
      <c r="E93" s="18" t="s">
        <v>83</v>
      </c>
      <c r="F93" s="18" t="s">
        <v>84</v>
      </c>
      <c r="G93" s="18" t="s">
        <v>85</v>
      </c>
      <c r="H93" s="18">
        <v>99999</v>
      </c>
      <c r="I93" s="18" t="s">
        <v>30</v>
      </c>
      <c r="J93" s="18" t="s">
        <v>86</v>
      </c>
      <c r="K93" s="18" t="s">
        <v>61</v>
      </c>
      <c r="L93" s="18">
        <v>41767</v>
      </c>
      <c r="M93" s="18" t="s">
        <v>33</v>
      </c>
      <c r="N93" s="18" t="s">
        <v>87</v>
      </c>
      <c r="O93" s="18" t="s">
        <v>83</v>
      </c>
      <c r="P93" s="18" t="s">
        <v>84</v>
      </c>
      <c r="Q93" s="18" t="s">
        <v>85</v>
      </c>
      <c r="R93" s="18">
        <v>99999</v>
      </c>
      <c r="S93" s="18" t="s">
        <v>30</v>
      </c>
      <c r="T93" s="18" t="s">
        <v>48</v>
      </c>
      <c r="U93" s="18" t="s">
        <v>88</v>
      </c>
      <c r="V93" s="18" t="s">
        <v>89</v>
      </c>
      <c r="W93" s="19">
        <v>40</v>
      </c>
      <c r="X93" s="18">
        <v>63</v>
      </c>
      <c r="Y93" s="19">
        <v>2520</v>
      </c>
      <c r="Z93" s="20">
        <v>254.52</v>
      </c>
    </row>
    <row r="94" spans="1:26" x14ac:dyDescent="0.25">
      <c r="A94" s="16">
        <v>1102</v>
      </c>
      <c r="B94" s="17">
        <v>41787</v>
      </c>
      <c r="C94" s="18">
        <v>28</v>
      </c>
      <c r="D94" s="18" t="s">
        <v>90</v>
      </c>
      <c r="E94" s="18" t="s">
        <v>91</v>
      </c>
      <c r="F94" s="18" t="s">
        <v>92</v>
      </c>
      <c r="G94" s="18" t="s">
        <v>93</v>
      </c>
      <c r="H94" s="18">
        <v>99999</v>
      </c>
      <c r="I94" s="18" t="s">
        <v>30</v>
      </c>
      <c r="J94" s="18" t="s">
        <v>94</v>
      </c>
      <c r="K94" s="18" t="s">
        <v>95</v>
      </c>
      <c r="L94" s="17">
        <v>41789</v>
      </c>
      <c r="M94" s="18" t="s">
        <v>62</v>
      </c>
      <c r="N94" s="18" t="s">
        <v>96</v>
      </c>
      <c r="O94" s="18" t="s">
        <v>91</v>
      </c>
      <c r="P94" s="18" t="s">
        <v>92</v>
      </c>
      <c r="Q94" s="18" t="s">
        <v>93</v>
      </c>
      <c r="R94" s="18">
        <v>99999</v>
      </c>
      <c r="S94" s="18" t="s">
        <v>30</v>
      </c>
      <c r="T94" s="18" t="s">
        <v>35</v>
      </c>
      <c r="U94" s="18" t="s">
        <v>55</v>
      </c>
      <c r="V94" s="18" t="s">
        <v>37</v>
      </c>
      <c r="W94" s="19">
        <v>46</v>
      </c>
      <c r="X94" s="18">
        <v>36</v>
      </c>
      <c r="Y94" s="19">
        <v>1656</v>
      </c>
      <c r="Z94" s="20">
        <v>165.60000000000002</v>
      </c>
    </row>
    <row r="95" spans="1:26" x14ac:dyDescent="0.25">
      <c r="A95" s="16">
        <v>1103</v>
      </c>
      <c r="B95" s="17">
        <v>41767</v>
      </c>
      <c r="C95" s="18">
        <v>8</v>
      </c>
      <c r="D95" s="18" t="s">
        <v>56</v>
      </c>
      <c r="E95" s="18" t="s">
        <v>57</v>
      </c>
      <c r="F95" s="18" t="s">
        <v>58</v>
      </c>
      <c r="G95" s="18" t="s">
        <v>59</v>
      </c>
      <c r="H95" s="18">
        <v>99999</v>
      </c>
      <c r="I95" s="18" t="s">
        <v>30</v>
      </c>
      <c r="J95" s="18" t="s">
        <v>60</v>
      </c>
      <c r="K95" s="18" t="s">
        <v>61</v>
      </c>
      <c r="L95" s="17">
        <v>41769</v>
      </c>
      <c r="M95" s="18" t="s">
        <v>62</v>
      </c>
      <c r="N95" s="18" t="s">
        <v>63</v>
      </c>
      <c r="O95" s="18" t="s">
        <v>57</v>
      </c>
      <c r="P95" s="18" t="s">
        <v>58</v>
      </c>
      <c r="Q95" s="18" t="s">
        <v>59</v>
      </c>
      <c r="R95" s="18">
        <v>99999</v>
      </c>
      <c r="S95" s="18" t="s">
        <v>30</v>
      </c>
      <c r="T95" s="18" t="s">
        <v>35</v>
      </c>
      <c r="U95" s="18" t="s">
        <v>72</v>
      </c>
      <c r="V95" s="18" t="s">
        <v>73</v>
      </c>
      <c r="W95" s="19">
        <v>12.75</v>
      </c>
      <c r="X95" s="18">
        <v>41</v>
      </c>
      <c r="Y95" s="19">
        <v>522.75</v>
      </c>
      <c r="Z95" s="20">
        <v>54.366000000000007</v>
      </c>
    </row>
    <row r="96" spans="1:26" x14ac:dyDescent="0.25">
      <c r="A96" s="16">
        <v>1104</v>
      </c>
      <c r="B96" s="17">
        <v>41769</v>
      </c>
      <c r="C96" s="18">
        <v>10</v>
      </c>
      <c r="D96" s="18" t="s">
        <v>97</v>
      </c>
      <c r="E96" s="18" t="s">
        <v>98</v>
      </c>
      <c r="F96" s="18" t="s">
        <v>99</v>
      </c>
      <c r="G96" s="18" t="s">
        <v>100</v>
      </c>
      <c r="H96" s="18">
        <v>99999</v>
      </c>
      <c r="I96" s="18" t="s">
        <v>30</v>
      </c>
      <c r="J96" s="18" t="s">
        <v>101</v>
      </c>
      <c r="K96" s="18" t="s">
        <v>45</v>
      </c>
      <c r="L96" s="17">
        <v>41771</v>
      </c>
      <c r="M96" s="18" t="s">
        <v>33</v>
      </c>
      <c r="N96" s="18" t="s">
        <v>102</v>
      </c>
      <c r="O96" s="18" t="s">
        <v>98</v>
      </c>
      <c r="P96" s="18" t="s">
        <v>99</v>
      </c>
      <c r="Q96" s="18" t="s">
        <v>100</v>
      </c>
      <c r="R96" s="18">
        <v>99999</v>
      </c>
      <c r="S96" s="18" t="s">
        <v>30</v>
      </c>
      <c r="T96" s="18" t="s">
        <v>48</v>
      </c>
      <c r="U96" s="18" t="s">
        <v>103</v>
      </c>
      <c r="V96" s="18" t="s">
        <v>37</v>
      </c>
      <c r="W96" s="19">
        <v>2.99</v>
      </c>
      <c r="X96" s="18">
        <v>35</v>
      </c>
      <c r="Y96" s="19">
        <v>104.65</v>
      </c>
      <c r="Z96" s="20">
        <v>10.255700000000001</v>
      </c>
    </row>
    <row r="97" spans="1:26" x14ac:dyDescent="0.25">
      <c r="A97" s="16">
        <v>1105</v>
      </c>
      <c r="B97" s="17">
        <v>41766</v>
      </c>
      <c r="C97" s="18">
        <v>7</v>
      </c>
      <c r="D97" s="18" t="s">
        <v>104</v>
      </c>
      <c r="E97" s="18" t="s">
        <v>105</v>
      </c>
      <c r="F97" s="18" t="s">
        <v>106</v>
      </c>
      <c r="G97" s="18" t="s">
        <v>107</v>
      </c>
      <c r="H97" s="18">
        <v>99999</v>
      </c>
      <c r="I97" s="18" t="s">
        <v>30</v>
      </c>
      <c r="J97" s="18" t="s">
        <v>60</v>
      </c>
      <c r="K97" s="18" t="s">
        <v>61</v>
      </c>
      <c r="L97" s="18"/>
      <c r="M97" s="18"/>
      <c r="N97" s="18" t="s">
        <v>108</v>
      </c>
      <c r="O97" s="18" t="s">
        <v>105</v>
      </c>
      <c r="P97" s="18" t="s">
        <v>106</v>
      </c>
      <c r="Q97" s="18" t="s">
        <v>107</v>
      </c>
      <c r="R97" s="18">
        <v>99999</v>
      </c>
      <c r="S97" s="18" t="s">
        <v>30</v>
      </c>
      <c r="T97" s="18"/>
      <c r="U97" s="18" t="s">
        <v>55</v>
      </c>
      <c r="V97" s="18" t="s">
        <v>37</v>
      </c>
      <c r="W97" s="19">
        <v>46</v>
      </c>
      <c r="X97" s="18">
        <v>31</v>
      </c>
      <c r="Y97" s="19">
        <v>1426</v>
      </c>
      <c r="Z97" s="20">
        <v>136.89599999999999</v>
      </c>
    </row>
    <row r="98" spans="1:26" x14ac:dyDescent="0.25">
      <c r="A98" s="16">
        <v>1106</v>
      </c>
      <c r="B98" s="17">
        <v>41769</v>
      </c>
      <c r="C98" s="18">
        <v>10</v>
      </c>
      <c r="D98" s="18" t="s">
        <v>97</v>
      </c>
      <c r="E98" s="18" t="s">
        <v>98</v>
      </c>
      <c r="F98" s="18" t="s">
        <v>99</v>
      </c>
      <c r="G98" s="18" t="s">
        <v>100</v>
      </c>
      <c r="H98" s="18">
        <v>99999</v>
      </c>
      <c r="I98" s="18" t="s">
        <v>30</v>
      </c>
      <c r="J98" s="18" t="s">
        <v>101</v>
      </c>
      <c r="K98" s="18" t="s">
        <v>45</v>
      </c>
      <c r="L98" s="18">
        <v>41771</v>
      </c>
      <c r="M98" s="18" t="s">
        <v>46</v>
      </c>
      <c r="N98" s="18" t="s">
        <v>102</v>
      </c>
      <c r="O98" s="18" t="s">
        <v>98</v>
      </c>
      <c r="P98" s="18" t="s">
        <v>99</v>
      </c>
      <c r="Q98" s="18" t="s">
        <v>100</v>
      </c>
      <c r="R98" s="18">
        <v>99999</v>
      </c>
      <c r="S98" s="18" t="s">
        <v>30</v>
      </c>
      <c r="T98" s="18"/>
      <c r="U98" s="18" t="s">
        <v>109</v>
      </c>
      <c r="V98" s="18" t="s">
        <v>110</v>
      </c>
      <c r="W98" s="19">
        <v>25</v>
      </c>
      <c r="X98" s="18">
        <v>52</v>
      </c>
      <c r="Y98" s="19">
        <v>1300</v>
      </c>
      <c r="Z98" s="20">
        <v>123.5</v>
      </c>
    </row>
    <row r="99" spans="1:26" x14ac:dyDescent="0.25">
      <c r="A99" s="16">
        <v>1107</v>
      </c>
      <c r="B99" s="17">
        <v>41769</v>
      </c>
      <c r="C99" s="18">
        <v>10</v>
      </c>
      <c r="D99" s="18" t="s">
        <v>97</v>
      </c>
      <c r="E99" s="18" t="s">
        <v>98</v>
      </c>
      <c r="F99" s="18" t="s">
        <v>99</v>
      </c>
      <c r="G99" s="18" t="s">
        <v>100</v>
      </c>
      <c r="H99" s="18">
        <v>99999</v>
      </c>
      <c r="I99" s="18" t="s">
        <v>30</v>
      </c>
      <c r="J99" s="18" t="s">
        <v>101</v>
      </c>
      <c r="K99" s="18" t="s">
        <v>45</v>
      </c>
      <c r="L99" s="18">
        <v>41771</v>
      </c>
      <c r="M99" s="18" t="s">
        <v>46</v>
      </c>
      <c r="N99" s="18" t="s">
        <v>102</v>
      </c>
      <c r="O99" s="18" t="s">
        <v>98</v>
      </c>
      <c r="P99" s="18" t="s">
        <v>99</v>
      </c>
      <c r="Q99" s="18" t="s">
        <v>100</v>
      </c>
      <c r="R99" s="18">
        <v>99999</v>
      </c>
      <c r="S99" s="18" t="s">
        <v>30</v>
      </c>
      <c r="T99" s="18"/>
      <c r="U99" s="18" t="s">
        <v>111</v>
      </c>
      <c r="V99" s="18" t="s">
        <v>112</v>
      </c>
      <c r="W99" s="19">
        <v>22</v>
      </c>
      <c r="X99" s="18">
        <v>30</v>
      </c>
      <c r="Y99" s="19">
        <v>660</v>
      </c>
      <c r="Z99" s="20">
        <v>67.320000000000007</v>
      </c>
    </row>
    <row r="100" spans="1:26" x14ac:dyDescent="0.25">
      <c r="A100" s="16">
        <v>1108</v>
      </c>
      <c r="B100" s="17">
        <v>41769</v>
      </c>
      <c r="C100" s="18">
        <v>10</v>
      </c>
      <c r="D100" s="18" t="s">
        <v>97</v>
      </c>
      <c r="E100" s="18" t="s">
        <v>98</v>
      </c>
      <c r="F100" s="18" t="s">
        <v>99</v>
      </c>
      <c r="G100" s="18" t="s">
        <v>100</v>
      </c>
      <c r="H100" s="18">
        <v>99999</v>
      </c>
      <c r="I100" s="18" t="s">
        <v>30</v>
      </c>
      <c r="J100" s="18" t="s">
        <v>101</v>
      </c>
      <c r="K100" s="18" t="s">
        <v>45</v>
      </c>
      <c r="L100" s="17">
        <v>41771</v>
      </c>
      <c r="M100" s="18" t="s">
        <v>46</v>
      </c>
      <c r="N100" s="18" t="s">
        <v>102</v>
      </c>
      <c r="O100" s="18" t="s">
        <v>98</v>
      </c>
      <c r="P100" s="18" t="s">
        <v>99</v>
      </c>
      <c r="Q100" s="18" t="s">
        <v>100</v>
      </c>
      <c r="R100" s="18">
        <v>99999</v>
      </c>
      <c r="S100" s="18" t="s">
        <v>30</v>
      </c>
      <c r="T100" s="18"/>
      <c r="U100" s="18" t="s">
        <v>64</v>
      </c>
      <c r="V100" s="18" t="s">
        <v>65</v>
      </c>
      <c r="W100" s="19">
        <v>9.1999999999999993</v>
      </c>
      <c r="X100" s="18">
        <v>41</v>
      </c>
      <c r="Y100" s="19">
        <v>377.2</v>
      </c>
      <c r="Z100" s="20">
        <v>38.474400000000003</v>
      </c>
    </row>
    <row r="101" spans="1:26" x14ac:dyDescent="0.25">
      <c r="A101" s="16">
        <v>1109</v>
      </c>
      <c r="B101" s="17">
        <v>41770</v>
      </c>
      <c r="C101" s="18">
        <v>11</v>
      </c>
      <c r="D101" s="18" t="s">
        <v>113</v>
      </c>
      <c r="E101" s="18" t="s">
        <v>114</v>
      </c>
      <c r="F101" s="18" t="s">
        <v>115</v>
      </c>
      <c r="G101" s="18" t="s">
        <v>116</v>
      </c>
      <c r="H101" s="18">
        <v>99999</v>
      </c>
      <c r="I101" s="18" t="s">
        <v>30</v>
      </c>
      <c r="J101" s="18" t="s">
        <v>94</v>
      </c>
      <c r="K101" s="18" t="s">
        <v>95</v>
      </c>
      <c r="L101" s="17"/>
      <c r="M101" s="18" t="s">
        <v>62</v>
      </c>
      <c r="N101" s="18" t="s">
        <v>117</v>
      </c>
      <c r="O101" s="18" t="s">
        <v>114</v>
      </c>
      <c r="P101" s="18" t="s">
        <v>115</v>
      </c>
      <c r="Q101" s="18" t="s">
        <v>116</v>
      </c>
      <c r="R101" s="18">
        <v>99999</v>
      </c>
      <c r="S101" s="18" t="s">
        <v>30</v>
      </c>
      <c r="T101" s="18"/>
      <c r="U101" s="18" t="s">
        <v>38</v>
      </c>
      <c r="V101" s="18" t="s">
        <v>39</v>
      </c>
      <c r="W101" s="19">
        <v>3.5</v>
      </c>
      <c r="X101" s="18">
        <v>44</v>
      </c>
      <c r="Y101" s="19">
        <v>154</v>
      </c>
      <c r="Z101" s="20">
        <v>15.246</v>
      </c>
    </row>
    <row r="102" spans="1:26" x14ac:dyDescent="0.25">
      <c r="A102" s="16">
        <v>1110</v>
      </c>
      <c r="B102" s="17">
        <v>41770</v>
      </c>
      <c r="C102" s="18">
        <v>11</v>
      </c>
      <c r="D102" s="18" t="s">
        <v>113</v>
      </c>
      <c r="E102" s="18" t="s">
        <v>114</v>
      </c>
      <c r="F102" s="18" t="s">
        <v>115</v>
      </c>
      <c r="G102" s="18" t="s">
        <v>116</v>
      </c>
      <c r="H102" s="18">
        <v>99999</v>
      </c>
      <c r="I102" s="18" t="s">
        <v>30</v>
      </c>
      <c r="J102" s="18" t="s">
        <v>94</v>
      </c>
      <c r="K102" s="18" t="s">
        <v>95</v>
      </c>
      <c r="L102" s="17"/>
      <c r="M102" s="18" t="s">
        <v>62</v>
      </c>
      <c r="N102" s="18" t="s">
        <v>117</v>
      </c>
      <c r="O102" s="18" t="s">
        <v>114</v>
      </c>
      <c r="P102" s="18" t="s">
        <v>115</v>
      </c>
      <c r="Q102" s="18" t="s">
        <v>116</v>
      </c>
      <c r="R102" s="18">
        <v>99999</v>
      </c>
      <c r="S102" s="18" t="s">
        <v>30</v>
      </c>
      <c r="T102" s="18"/>
      <c r="U102" s="18" t="s">
        <v>103</v>
      </c>
      <c r="V102" s="18" t="s">
        <v>37</v>
      </c>
      <c r="W102" s="19">
        <v>2.99</v>
      </c>
      <c r="X102" s="18">
        <v>77</v>
      </c>
      <c r="Y102" s="19">
        <v>230.23000000000002</v>
      </c>
      <c r="Z102" s="20">
        <v>23.023000000000003</v>
      </c>
    </row>
    <row r="103" spans="1:26" x14ac:dyDescent="0.25">
      <c r="A103" s="16">
        <v>1111</v>
      </c>
      <c r="B103" s="17">
        <v>41760</v>
      </c>
      <c r="C103" s="18">
        <v>1</v>
      </c>
      <c r="D103" s="18" t="s">
        <v>118</v>
      </c>
      <c r="E103" s="18" t="s">
        <v>119</v>
      </c>
      <c r="F103" s="18" t="s">
        <v>120</v>
      </c>
      <c r="G103" s="18" t="s">
        <v>121</v>
      </c>
      <c r="H103" s="18">
        <v>99999</v>
      </c>
      <c r="I103" s="18" t="s">
        <v>30</v>
      </c>
      <c r="J103" s="18" t="s">
        <v>60</v>
      </c>
      <c r="K103" s="18" t="s">
        <v>61</v>
      </c>
      <c r="L103" s="17"/>
      <c r="M103" s="18"/>
      <c r="N103" s="18" t="s">
        <v>122</v>
      </c>
      <c r="O103" s="18" t="s">
        <v>119</v>
      </c>
      <c r="P103" s="18" t="s">
        <v>120</v>
      </c>
      <c r="Q103" s="18" t="s">
        <v>121</v>
      </c>
      <c r="R103" s="18">
        <v>99999</v>
      </c>
      <c r="S103" s="18" t="s">
        <v>30</v>
      </c>
      <c r="T103" s="18"/>
      <c r="U103" s="18" t="s">
        <v>54</v>
      </c>
      <c r="V103" s="18" t="s">
        <v>37</v>
      </c>
      <c r="W103" s="19">
        <v>18</v>
      </c>
      <c r="X103" s="18">
        <v>29</v>
      </c>
      <c r="Y103" s="19">
        <v>522</v>
      </c>
      <c r="Z103" s="20">
        <v>52.722000000000001</v>
      </c>
    </row>
    <row r="104" spans="1:26" x14ac:dyDescent="0.25">
      <c r="A104" s="16">
        <v>1112</v>
      </c>
      <c r="B104" s="17">
        <v>41760</v>
      </c>
      <c r="C104" s="18">
        <v>1</v>
      </c>
      <c r="D104" s="18" t="s">
        <v>118</v>
      </c>
      <c r="E104" s="18" t="s">
        <v>119</v>
      </c>
      <c r="F104" s="18" t="s">
        <v>120</v>
      </c>
      <c r="G104" s="18" t="s">
        <v>121</v>
      </c>
      <c r="H104" s="18">
        <v>99999</v>
      </c>
      <c r="I104" s="18" t="s">
        <v>30</v>
      </c>
      <c r="J104" s="18" t="s">
        <v>60</v>
      </c>
      <c r="K104" s="18" t="s">
        <v>61</v>
      </c>
      <c r="L104" s="17"/>
      <c r="M104" s="18"/>
      <c r="N104" s="18" t="s">
        <v>122</v>
      </c>
      <c r="O104" s="18" t="s">
        <v>119</v>
      </c>
      <c r="P104" s="18" t="s">
        <v>120</v>
      </c>
      <c r="Q104" s="18" t="s">
        <v>121</v>
      </c>
      <c r="R104" s="18">
        <v>99999</v>
      </c>
      <c r="S104" s="18" t="s">
        <v>30</v>
      </c>
      <c r="T104" s="18"/>
      <c r="U104" s="18" t="s">
        <v>55</v>
      </c>
      <c r="V104" s="18" t="s">
        <v>37</v>
      </c>
      <c r="W104" s="19">
        <v>46</v>
      </c>
      <c r="X104" s="18">
        <v>77</v>
      </c>
      <c r="Y104" s="19">
        <v>3542</v>
      </c>
      <c r="Z104" s="20">
        <v>368.36800000000005</v>
      </c>
    </row>
    <row r="105" spans="1:26" x14ac:dyDescent="0.25">
      <c r="A105" s="16">
        <v>1113</v>
      </c>
      <c r="B105" s="17">
        <v>41760</v>
      </c>
      <c r="C105" s="18">
        <v>1</v>
      </c>
      <c r="D105" s="18" t="s">
        <v>118</v>
      </c>
      <c r="E105" s="18" t="s">
        <v>119</v>
      </c>
      <c r="F105" s="18" t="s">
        <v>120</v>
      </c>
      <c r="G105" s="18" t="s">
        <v>121</v>
      </c>
      <c r="H105" s="18">
        <v>99999</v>
      </c>
      <c r="I105" s="18" t="s">
        <v>30</v>
      </c>
      <c r="J105" s="18" t="s">
        <v>60</v>
      </c>
      <c r="K105" s="18" t="s">
        <v>61</v>
      </c>
      <c r="L105" s="17"/>
      <c r="M105" s="18"/>
      <c r="N105" s="18" t="s">
        <v>122</v>
      </c>
      <c r="O105" s="18" t="s">
        <v>119</v>
      </c>
      <c r="P105" s="18" t="s">
        <v>120</v>
      </c>
      <c r="Q105" s="18" t="s">
        <v>121</v>
      </c>
      <c r="R105" s="18">
        <v>99999</v>
      </c>
      <c r="S105" s="18" t="s">
        <v>30</v>
      </c>
      <c r="T105" s="18"/>
      <c r="U105" s="18" t="s">
        <v>103</v>
      </c>
      <c r="V105" s="18" t="s">
        <v>37</v>
      </c>
      <c r="W105" s="19">
        <v>2.99</v>
      </c>
      <c r="X105" s="18">
        <v>73</v>
      </c>
      <c r="Y105" s="19">
        <v>218.27</v>
      </c>
      <c r="Z105" s="20">
        <v>21.827000000000002</v>
      </c>
    </row>
    <row r="106" spans="1:26" x14ac:dyDescent="0.25">
      <c r="A106" s="16">
        <v>1114</v>
      </c>
      <c r="B106" s="17">
        <v>41787</v>
      </c>
      <c r="C106" s="18">
        <v>28</v>
      </c>
      <c r="D106" s="18" t="s">
        <v>90</v>
      </c>
      <c r="E106" s="18" t="s">
        <v>91</v>
      </c>
      <c r="F106" s="18" t="s">
        <v>92</v>
      </c>
      <c r="G106" s="18" t="s">
        <v>93</v>
      </c>
      <c r="H106" s="18">
        <v>99999</v>
      </c>
      <c r="I106" s="18" t="s">
        <v>30</v>
      </c>
      <c r="J106" s="18" t="s">
        <v>94</v>
      </c>
      <c r="K106" s="18" t="s">
        <v>95</v>
      </c>
      <c r="L106" s="18">
        <v>41789</v>
      </c>
      <c r="M106" s="18" t="s">
        <v>62</v>
      </c>
      <c r="N106" s="18" t="s">
        <v>96</v>
      </c>
      <c r="O106" s="18" t="s">
        <v>91</v>
      </c>
      <c r="P106" s="18" t="s">
        <v>92</v>
      </c>
      <c r="Q106" s="18" t="s">
        <v>93</v>
      </c>
      <c r="R106" s="18">
        <v>99999</v>
      </c>
      <c r="S106" s="18" t="s">
        <v>30</v>
      </c>
      <c r="T106" s="18" t="s">
        <v>48</v>
      </c>
      <c r="U106" s="18" t="s">
        <v>80</v>
      </c>
      <c r="V106" s="18" t="s">
        <v>81</v>
      </c>
      <c r="W106" s="19">
        <v>9.65</v>
      </c>
      <c r="X106" s="18">
        <v>74</v>
      </c>
      <c r="Y106" s="19">
        <v>714.1</v>
      </c>
      <c r="Z106" s="20">
        <v>67.839500000000001</v>
      </c>
    </row>
    <row r="107" spans="1:26" x14ac:dyDescent="0.25">
      <c r="A107" s="16">
        <v>1115</v>
      </c>
      <c r="B107" s="17">
        <v>41787</v>
      </c>
      <c r="C107" s="18">
        <v>28</v>
      </c>
      <c r="D107" s="18" t="s">
        <v>90</v>
      </c>
      <c r="E107" s="18" t="s">
        <v>91</v>
      </c>
      <c r="F107" s="18" t="s">
        <v>92</v>
      </c>
      <c r="G107" s="18" t="s">
        <v>93</v>
      </c>
      <c r="H107" s="18">
        <v>99999</v>
      </c>
      <c r="I107" s="18" t="s">
        <v>30</v>
      </c>
      <c r="J107" s="18" t="s">
        <v>94</v>
      </c>
      <c r="K107" s="18" t="s">
        <v>95</v>
      </c>
      <c r="L107" s="17">
        <v>41789</v>
      </c>
      <c r="M107" s="18" t="s">
        <v>62</v>
      </c>
      <c r="N107" s="18" t="s">
        <v>96</v>
      </c>
      <c r="O107" s="18" t="s">
        <v>91</v>
      </c>
      <c r="P107" s="18" t="s">
        <v>92</v>
      </c>
      <c r="Q107" s="18" t="s">
        <v>93</v>
      </c>
      <c r="R107" s="18">
        <v>99999</v>
      </c>
      <c r="S107" s="18" t="s">
        <v>30</v>
      </c>
      <c r="T107" s="18" t="s">
        <v>48</v>
      </c>
      <c r="U107" s="18" t="s">
        <v>123</v>
      </c>
      <c r="V107" s="18" t="s">
        <v>124</v>
      </c>
      <c r="W107" s="19">
        <v>18.399999999999999</v>
      </c>
      <c r="X107" s="18">
        <v>25</v>
      </c>
      <c r="Y107" s="19">
        <v>459.99999999999994</v>
      </c>
      <c r="Z107" s="20">
        <v>46.46</v>
      </c>
    </row>
    <row r="108" spans="1:26" x14ac:dyDescent="0.25">
      <c r="A108" s="16">
        <v>1116</v>
      </c>
      <c r="B108" s="17">
        <v>41768</v>
      </c>
      <c r="C108" s="18">
        <v>9</v>
      </c>
      <c r="D108" s="18" t="s">
        <v>125</v>
      </c>
      <c r="E108" s="18" t="s">
        <v>126</v>
      </c>
      <c r="F108" s="18" t="s">
        <v>127</v>
      </c>
      <c r="G108" s="18" t="s">
        <v>128</v>
      </c>
      <c r="H108" s="18">
        <v>99999</v>
      </c>
      <c r="I108" s="18" t="s">
        <v>30</v>
      </c>
      <c r="J108" s="18" t="s">
        <v>129</v>
      </c>
      <c r="K108" s="18" t="s">
        <v>32</v>
      </c>
      <c r="L108" s="17">
        <v>41770</v>
      </c>
      <c r="M108" s="18" t="s">
        <v>46</v>
      </c>
      <c r="N108" s="18" t="s">
        <v>130</v>
      </c>
      <c r="O108" s="18" t="s">
        <v>126</v>
      </c>
      <c r="P108" s="18" t="s">
        <v>127</v>
      </c>
      <c r="Q108" s="18" t="s">
        <v>128</v>
      </c>
      <c r="R108" s="18">
        <v>99999</v>
      </c>
      <c r="S108" s="18" t="s">
        <v>30</v>
      </c>
      <c r="T108" s="18" t="s">
        <v>35</v>
      </c>
      <c r="U108" s="18" t="s">
        <v>131</v>
      </c>
      <c r="V108" s="18" t="s">
        <v>132</v>
      </c>
      <c r="W108" s="19">
        <v>19.5</v>
      </c>
      <c r="X108" s="18">
        <v>82</v>
      </c>
      <c r="Y108" s="19">
        <v>1599</v>
      </c>
      <c r="Z108" s="20">
        <v>153.50399999999999</v>
      </c>
    </row>
    <row r="109" spans="1:26" x14ac:dyDescent="0.25">
      <c r="A109" s="16">
        <v>1117</v>
      </c>
      <c r="B109" s="17">
        <v>41768</v>
      </c>
      <c r="C109" s="18">
        <v>9</v>
      </c>
      <c r="D109" s="18" t="s">
        <v>125</v>
      </c>
      <c r="E109" s="18" t="s">
        <v>126</v>
      </c>
      <c r="F109" s="18" t="s">
        <v>127</v>
      </c>
      <c r="G109" s="18" t="s">
        <v>128</v>
      </c>
      <c r="H109" s="18">
        <v>99999</v>
      </c>
      <c r="I109" s="18" t="s">
        <v>30</v>
      </c>
      <c r="J109" s="18" t="s">
        <v>129</v>
      </c>
      <c r="K109" s="18" t="s">
        <v>32</v>
      </c>
      <c r="L109" s="17">
        <v>41770</v>
      </c>
      <c r="M109" s="18" t="s">
        <v>46</v>
      </c>
      <c r="N109" s="18" t="s">
        <v>130</v>
      </c>
      <c r="O109" s="18" t="s">
        <v>126</v>
      </c>
      <c r="P109" s="18" t="s">
        <v>127</v>
      </c>
      <c r="Q109" s="18" t="s">
        <v>128</v>
      </c>
      <c r="R109" s="18">
        <v>99999</v>
      </c>
      <c r="S109" s="18" t="s">
        <v>30</v>
      </c>
      <c r="T109" s="18" t="s">
        <v>35</v>
      </c>
      <c r="U109" s="18" t="s">
        <v>133</v>
      </c>
      <c r="V109" s="18" t="s">
        <v>134</v>
      </c>
      <c r="W109" s="19">
        <v>34.799999999999997</v>
      </c>
      <c r="X109" s="18">
        <v>37</v>
      </c>
      <c r="Y109" s="19">
        <v>1287.5999999999999</v>
      </c>
      <c r="Z109" s="20">
        <v>132.62279999999998</v>
      </c>
    </row>
    <row r="110" spans="1:26" x14ac:dyDescent="0.25">
      <c r="A110" s="16">
        <v>1118</v>
      </c>
      <c r="B110" s="17">
        <v>41765</v>
      </c>
      <c r="C110" s="18">
        <v>6</v>
      </c>
      <c r="D110" s="18" t="s">
        <v>82</v>
      </c>
      <c r="E110" s="18" t="s">
        <v>83</v>
      </c>
      <c r="F110" s="18" t="s">
        <v>84</v>
      </c>
      <c r="G110" s="18" t="s">
        <v>85</v>
      </c>
      <c r="H110" s="18">
        <v>99999</v>
      </c>
      <c r="I110" s="18" t="s">
        <v>30</v>
      </c>
      <c r="J110" s="18" t="s">
        <v>86</v>
      </c>
      <c r="K110" s="18" t="s">
        <v>61</v>
      </c>
      <c r="L110" s="18">
        <v>41767</v>
      </c>
      <c r="M110" s="18" t="s">
        <v>33</v>
      </c>
      <c r="N110" s="18" t="s">
        <v>87</v>
      </c>
      <c r="O110" s="18" t="s">
        <v>83</v>
      </c>
      <c r="P110" s="18" t="s">
        <v>84</v>
      </c>
      <c r="Q110" s="18" t="s">
        <v>85</v>
      </c>
      <c r="R110" s="18">
        <v>99999</v>
      </c>
      <c r="S110" s="18" t="s">
        <v>30</v>
      </c>
      <c r="T110" s="18" t="s">
        <v>48</v>
      </c>
      <c r="U110" s="18" t="s">
        <v>36</v>
      </c>
      <c r="V110" s="18" t="s">
        <v>37</v>
      </c>
      <c r="W110" s="19">
        <v>14</v>
      </c>
      <c r="X110" s="18">
        <v>84</v>
      </c>
      <c r="Y110" s="19">
        <v>1176</v>
      </c>
      <c r="Z110" s="20">
        <v>112.896</v>
      </c>
    </row>
    <row r="111" spans="1:26" x14ac:dyDescent="0.25">
      <c r="A111" s="16">
        <v>1119</v>
      </c>
      <c r="B111" s="17">
        <v>41767</v>
      </c>
      <c r="C111" s="18">
        <v>8</v>
      </c>
      <c r="D111" s="18" t="s">
        <v>56</v>
      </c>
      <c r="E111" s="18" t="s">
        <v>57</v>
      </c>
      <c r="F111" s="18" t="s">
        <v>58</v>
      </c>
      <c r="G111" s="18" t="s">
        <v>59</v>
      </c>
      <c r="H111" s="18">
        <v>99999</v>
      </c>
      <c r="I111" s="18" t="s">
        <v>30</v>
      </c>
      <c r="J111" s="18" t="s">
        <v>60</v>
      </c>
      <c r="K111" s="18" t="s">
        <v>61</v>
      </c>
      <c r="L111" s="18">
        <v>41769</v>
      </c>
      <c r="M111" s="18" t="s">
        <v>33</v>
      </c>
      <c r="N111" s="18" t="s">
        <v>63</v>
      </c>
      <c r="O111" s="18" t="s">
        <v>57</v>
      </c>
      <c r="P111" s="18" t="s">
        <v>58</v>
      </c>
      <c r="Q111" s="18" t="s">
        <v>59</v>
      </c>
      <c r="R111" s="18">
        <v>99999</v>
      </c>
      <c r="S111" s="18" t="s">
        <v>30</v>
      </c>
      <c r="T111" s="18" t="s">
        <v>35</v>
      </c>
      <c r="U111" s="18" t="s">
        <v>88</v>
      </c>
      <c r="V111" s="18" t="s">
        <v>89</v>
      </c>
      <c r="W111" s="19">
        <v>40</v>
      </c>
      <c r="X111" s="18">
        <v>73</v>
      </c>
      <c r="Y111" s="19">
        <v>2920</v>
      </c>
      <c r="Z111" s="20">
        <v>283.24</v>
      </c>
    </row>
    <row r="112" spans="1:26" x14ac:dyDescent="0.25">
      <c r="A112" s="16">
        <v>1120</v>
      </c>
      <c r="B112" s="17">
        <v>41767</v>
      </c>
      <c r="C112" s="18">
        <v>8</v>
      </c>
      <c r="D112" s="18" t="s">
        <v>56</v>
      </c>
      <c r="E112" s="18" t="s">
        <v>57</v>
      </c>
      <c r="F112" s="18" t="s">
        <v>58</v>
      </c>
      <c r="G112" s="18" t="s">
        <v>59</v>
      </c>
      <c r="H112" s="18">
        <v>99999</v>
      </c>
      <c r="I112" s="18" t="s">
        <v>30</v>
      </c>
      <c r="J112" s="18" t="s">
        <v>60</v>
      </c>
      <c r="K112" s="18" t="s">
        <v>61</v>
      </c>
      <c r="L112" s="18">
        <v>41769</v>
      </c>
      <c r="M112" s="18" t="s">
        <v>33</v>
      </c>
      <c r="N112" s="18" t="s">
        <v>63</v>
      </c>
      <c r="O112" s="18" t="s">
        <v>57</v>
      </c>
      <c r="P112" s="18" t="s">
        <v>58</v>
      </c>
      <c r="Q112" s="18" t="s">
        <v>59</v>
      </c>
      <c r="R112" s="18">
        <v>99999</v>
      </c>
      <c r="S112" s="18" t="s">
        <v>30</v>
      </c>
      <c r="T112" s="18" t="s">
        <v>35</v>
      </c>
      <c r="U112" s="18" t="s">
        <v>64</v>
      </c>
      <c r="V112" s="18" t="s">
        <v>65</v>
      </c>
      <c r="W112" s="19">
        <v>9.1999999999999993</v>
      </c>
      <c r="X112" s="18">
        <v>51</v>
      </c>
      <c r="Y112" s="19">
        <v>469.2</v>
      </c>
      <c r="Z112" s="20">
        <v>44.573999999999998</v>
      </c>
    </row>
    <row r="113" spans="1:26" x14ac:dyDescent="0.25">
      <c r="A113" s="16">
        <v>1121</v>
      </c>
      <c r="B113" s="17">
        <v>41784</v>
      </c>
      <c r="C113" s="18">
        <v>25</v>
      </c>
      <c r="D113" s="18" t="s">
        <v>137</v>
      </c>
      <c r="E113" s="18" t="s">
        <v>138</v>
      </c>
      <c r="F113" s="18" t="s">
        <v>99</v>
      </c>
      <c r="G113" s="18" t="s">
        <v>100</v>
      </c>
      <c r="H113" s="18">
        <v>99999</v>
      </c>
      <c r="I113" s="18" t="s">
        <v>30</v>
      </c>
      <c r="J113" s="18" t="s">
        <v>101</v>
      </c>
      <c r="K113" s="18" t="s">
        <v>45</v>
      </c>
      <c r="L113" s="18">
        <v>41786</v>
      </c>
      <c r="M113" s="18" t="s">
        <v>46</v>
      </c>
      <c r="N113" s="18" t="s">
        <v>139</v>
      </c>
      <c r="O113" s="18" t="s">
        <v>138</v>
      </c>
      <c r="P113" s="18" t="s">
        <v>99</v>
      </c>
      <c r="Q113" s="18" t="s">
        <v>100</v>
      </c>
      <c r="R113" s="18">
        <v>99999</v>
      </c>
      <c r="S113" s="18" t="s">
        <v>30</v>
      </c>
      <c r="T113" s="18" t="s">
        <v>79</v>
      </c>
      <c r="U113" s="18" t="s">
        <v>146</v>
      </c>
      <c r="V113" s="18" t="s">
        <v>65</v>
      </c>
      <c r="W113" s="19">
        <v>10</v>
      </c>
      <c r="X113" s="18">
        <v>66</v>
      </c>
      <c r="Y113" s="19">
        <v>660</v>
      </c>
      <c r="Z113" s="20">
        <v>68.64</v>
      </c>
    </row>
    <row r="114" spans="1:26" x14ac:dyDescent="0.25">
      <c r="A114" s="16">
        <v>1122</v>
      </c>
      <c r="B114" s="17">
        <v>41785</v>
      </c>
      <c r="C114" s="18">
        <v>26</v>
      </c>
      <c r="D114" s="18" t="s">
        <v>140</v>
      </c>
      <c r="E114" s="18" t="s">
        <v>141</v>
      </c>
      <c r="F114" s="18" t="s">
        <v>115</v>
      </c>
      <c r="G114" s="18" t="s">
        <v>116</v>
      </c>
      <c r="H114" s="18">
        <v>99999</v>
      </c>
      <c r="I114" s="18" t="s">
        <v>30</v>
      </c>
      <c r="J114" s="18" t="s">
        <v>94</v>
      </c>
      <c r="K114" s="18" t="s">
        <v>95</v>
      </c>
      <c r="L114" s="18">
        <v>41787</v>
      </c>
      <c r="M114" s="18" t="s">
        <v>62</v>
      </c>
      <c r="N114" s="18" t="s">
        <v>142</v>
      </c>
      <c r="O114" s="18" t="s">
        <v>141</v>
      </c>
      <c r="P114" s="18" t="s">
        <v>115</v>
      </c>
      <c r="Q114" s="18" t="s">
        <v>116</v>
      </c>
      <c r="R114" s="18">
        <v>99999</v>
      </c>
      <c r="S114" s="18" t="s">
        <v>30</v>
      </c>
      <c r="T114" s="18" t="s">
        <v>48</v>
      </c>
      <c r="U114" s="18" t="s">
        <v>147</v>
      </c>
      <c r="V114" s="18" t="s">
        <v>148</v>
      </c>
      <c r="W114" s="19">
        <v>21.35</v>
      </c>
      <c r="X114" s="18">
        <v>36</v>
      </c>
      <c r="Y114" s="19">
        <v>768.6</v>
      </c>
      <c r="Z114" s="20">
        <v>74.554200000000009</v>
      </c>
    </row>
    <row r="115" spans="1:26" x14ac:dyDescent="0.25">
      <c r="A115" s="16">
        <v>1123</v>
      </c>
      <c r="B115" s="17">
        <v>41785</v>
      </c>
      <c r="C115" s="18">
        <v>26</v>
      </c>
      <c r="D115" s="18" t="s">
        <v>140</v>
      </c>
      <c r="E115" s="18" t="s">
        <v>141</v>
      </c>
      <c r="F115" s="18" t="s">
        <v>115</v>
      </c>
      <c r="G115" s="18" t="s">
        <v>116</v>
      </c>
      <c r="H115" s="18">
        <v>99999</v>
      </c>
      <c r="I115" s="18" t="s">
        <v>30</v>
      </c>
      <c r="J115" s="18" t="s">
        <v>94</v>
      </c>
      <c r="K115" s="18" t="s">
        <v>95</v>
      </c>
      <c r="L115" s="17">
        <v>41787</v>
      </c>
      <c r="M115" s="18" t="s">
        <v>62</v>
      </c>
      <c r="N115" s="18" t="s">
        <v>142</v>
      </c>
      <c r="O115" s="18" t="s">
        <v>141</v>
      </c>
      <c r="P115" s="18" t="s">
        <v>115</v>
      </c>
      <c r="Q115" s="18" t="s">
        <v>116</v>
      </c>
      <c r="R115" s="18">
        <v>99999</v>
      </c>
      <c r="S115" s="18" t="s">
        <v>30</v>
      </c>
      <c r="T115" s="18" t="s">
        <v>48</v>
      </c>
      <c r="U115" s="18" t="s">
        <v>80</v>
      </c>
      <c r="V115" s="18" t="s">
        <v>81</v>
      </c>
      <c r="W115" s="19">
        <v>9.65</v>
      </c>
      <c r="X115" s="18">
        <v>87</v>
      </c>
      <c r="Y115" s="19">
        <v>839.55000000000007</v>
      </c>
      <c r="Z115" s="20">
        <v>87.313200000000009</v>
      </c>
    </row>
    <row r="116" spans="1:26" x14ac:dyDescent="0.25">
      <c r="A116" s="16">
        <v>1124</v>
      </c>
      <c r="B116" s="17">
        <v>41785</v>
      </c>
      <c r="C116" s="18">
        <v>26</v>
      </c>
      <c r="D116" s="18" t="s">
        <v>140</v>
      </c>
      <c r="E116" s="18" t="s">
        <v>141</v>
      </c>
      <c r="F116" s="18" t="s">
        <v>115</v>
      </c>
      <c r="G116" s="18" t="s">
        <v>116</v>
      </c>
      <c r="H116" s="18">
        <v>99999</v>
      </c>
      <c r="I116" s="18" t="s">
        <v>30</v>
      </c>
      <c r="J116" s="18" t="s">
        <v>94</v>
      </c>
      <c r="K116" s="18" t="s">
        <v>95</v>
      </c>
      <c r="L116" s="17">
        <v>41787</v>
      </c>
      <c r="M116" s="18" t="s">
        <v>62</v>
      </c>
      <c r="N116" s="18" t="s">
        <v>142</v>
      </c>
      <c r="O116" s="18" t="s">
        <v>141</v>
      </c>
      <c r="P116" s="18" t="s">
        <v>115</v>
      </c>
      <c r="Q116" s="18" t="s">
        <v>116</v>
      </c>
      <c r="R116" s="18">
        <v>99999</v>
      </c>
      <c r="S116" s="18" t="s">
        <v>30</v>
      </c>
      <c r="T116" s="18" t="s">
        <v>48</v>
      </c>
      <c r="U116" s="18" t="s">
        <v>123</v>
      </c>
      <c r="V116" s="18" t="s">
        <v>124</v>
      </c>
      <c r="W116" s="19">
        <v>18.399999999999999</v>
      </c>
      <c r="X116" s="18">
        <v>64</v>
      </c>
      <c r="Y116" s="19">
        <v>1177.5999999999999</v>
      </c>
      <c r="Z116" s="20">
        <v>115.40479999999999</v>
      </c>
    </row>
    <row r="117" spans="1:26" x14ac:dyDescent="0.25">
      <c r="A117" s="16">
        <v>1125</v>
      </c>
      <c r="B117" s="17">
        <v>41788</v>
      </c>
      <c r="C117" s="18">
        <v>29</v>
      </c>
      <c r="D117" s="18" t="s">
        <v>66</v>
      </c>
      <c r="E117" s="18" t="s">
        <v>67</v>
      </c>
      <c r="F117" s="18" t="s">
        <v>68</v>
      </c>
      <c r="G117" s="18" t="s">
        <v>69</v>
      </c>
      <c r="H117" s="18">
        <v>99999</v>
      </c>
      <c r="I117" s="18" t="s">
        <v>30</v>
      </c>
      <c r="J117" s="18" t="s">
        <v>70</v>
      </c>
      <c r="K117" s="18" t="s">
        <v>32</v>
      </c>
      <c r="L117" s="17">
        <v>41790</v>
      </c>
      <c r="M117" s="18" t="s">
        <v>33</v>
      </c>
      <c r="N117" s="18" t="s">
        <v>71</v>
      </c>
      <c r="O117" s="18" t="s">
        <v>67</v>
      </c>
      <c r="P117" s="18" t="s">
        <v>68</v>
      </c>
      <c r="Q117" s="18" t="s">
        <v>69</v>
      </c>
      <c r="R117" s="18">
        <v>99999</v>
      </c>
      <c r="S117" s="18" t="s">
        <v>30</v>
      </c>
      <c r="T117" s="18" t="s">
        <v>35</v>
      </c>
      <c r="U117" s="18" t="s">
        <v>36</v>
      </c>
      <c r="V117" s="18" t="s">
        <v>37</v>
      </c>
      <c r="W117" s="19">
        <v>14</v>
      </c>
      <c r="X117" s="18">
        <v>21</v>
      </c>
      <c r="Y117" s="19">
        <v>294</v>
      </c>
      <c r="Z117" s="20">
        <v>30.870000000000005</v>
      </c>
    </row>
    <row r="118" spans="1:26" x14ac:dyDescent="0.25">
      <c r="A118" s="16">
        <v>1126</v>
      </c>
      <c r="B118" s="17">
        <v>41765</v>
      </c>
      <c r="C118" s="18">
        <v>6</v>
      </c>
      <c r="D118" s="18" t="s">
        <v>82</v>
      </c>
      <c r="E118" s="18" t="s">
        <v>83</v>
      </c>
      <c r="F118" s="18" t="s">
        <v>84</v>
      </c>
      <c r="G118" s="18" t="s">
        <v>85</v>
      </c>
      <c r="H118" s="18">
        <v>99999</v>
      </c>
      <c r="I118" s="18" t="s">
        <v>30</v>
      </c>
      <c r="J118" s="18" t="s">
        <v>86</v>
      </c>
      <c r="K118" s="18" t="s">
        <v>61</v>
      </c>
      <c r="L118" s="17">
        <v>41767</v>
      </c>
      <c r="M118" s="18" t="s">
        <v>62</v>
      </c>
      <c r="N118" s="18" t="s">
        <v>87</v>
      </c>
      <c r="O118" s="18" t="s">
        <v>83</v>
      </c>
      <c r="P118" s="18" t="s">
        <v>84</v>
      </c>
      <c r="Q118" s="18" t="s">
        <v>85</v>
      </c>
      <c r="R118" s="18">
        <v>99999</v>
      </c>
      <c r="S118" s="18" t="s">
        <v>30</v>
      </c>
      <c r="T118" s="18" t="s">
        <v>35</v>
      </c>
      <c r="U118" s="18" t="s">
        <v>72</v>
      </c>
      <c r="V118" s="18" t="s">
        <v>73</v>
      </c>
      <c r="W118" s="19">
        <v>12.75</v>
      </c>
      <c r="X118" s="18">
        <v>19</v>
      </c>
      <c r="Y118" s="19">
        <v>242.25</v>
      </c>
      <c r="Z118" s="20">
        <v>24.46725</v>
      </c>
    </row>
    <row r="119" spans="1:26" x14ac:dyDescent="0.25">
      <c r="A119" s="16">
        <v>1128</v>
      </c>
      <c r="B119" s="17">
        <v>41763</v>
      </c>
      <c r="C119" s="18">
        <v>4</v>
      </c>
      <c r="D119" s="18" t="s">
        <v>40</v>
      </c>
      <c r="E119" s="18" t="s">
        <v>41</v>
      </c>
      <c r="F119" s="18" t="s">
        <v>42</v>
      </c>
      <c r="G119" s="18" t="s">
        <v>43</v>
      </c>
      <c r="H119" s="18">
        <v>99999</v>
      </c>
      <c r="I119" s="18" t="s">
        <v>30</v>
      </c>
      <c r="J119" s="18" t="s">
        <v>44</v>
      </c>
      <c r="K119" s="18" t="s">
        <v>45</v>
      </c>
      <c r="L119" s="17">
        <v>41765</v>
      </c>
      <c r="M119" s="18" t="s">
        <v>46</v>
      </c>
      <c r="N119" s="18" t="s">
        <v>47</v>
      </c>
      <c r="O119" s="18" t="s">
        <v>41</v>
      </c>
      <c r="P119" s="18" t="s">
        <v>42</v>
      </c>
      <c r="Q119" s="18" t="s">
        <v>43</v>
      </c>
      <c r="R119" s="18">
        <v>99999</v>
      </c>
      <c r="S119" s="18" t="s">
        <v>30</v>
      </c>
      <c r="T119" s="18" t="s">
        <v>48</v>
      </c>
      <c r="U119" s="18" t="s">
        <v>149</v>
      </c>
      <c r="V119" s="18" t="s">
        <v>110</v>
      </c>
      <c r="W119" s="19">
        <v>81</v>
      </c>
      <c r="X119" s="18">
        <v>23</v>
      </c>
      <c r="Y119" s="19">
        <v>1863</v>
      </c>
      <c r="Z119" s="20">
        <v>195.61500000000001</v>
      </c>
    </row>
    <row r="120" spans="1:26" x14ac:dyDescent="0.25">
      <c r="A120" s="16">
        <v>1129</v>
      </c>
      <c r="B120" s="17">
        <v>41763</v>
      </c>
      <c r="C120" s="18">
        <v>4</v>
      </c>
      <c r="D120" s="18" t="s">
        <v>40</v>
      </c>
      <c r="E120" s="18" t="s">
        <v>41</v>
      </c>
      <c r="F120" s="18" t="s">
        <v>42</v>
      </c>
      <c r="G120" s="18" t="s">
        <v>43</v>
      </c>
      <c r="H120" s="18">
        <v>99999</v>
      </c>
      <c r="I120" s="18" t="s">
        <v>30</v>
      </c>
      <c r="J120" s="18" t="s">
        <v>44</v>
      </c>
      <c r="K120" s="18" t="s">
        <v>45</v>
      </c>
      <c r="L120" s="17">
        <v>41765</v>
      </c>
      <c r="M120" s="18" t="s">
        <v>46</v>
      </c>
      <c r="N120" s="18" t="s">
        <v>47</v>
      </c>
      <c r="O120" s="18" t="s">
        <v>41</v>
      </c>
      <c r="P120" s="18" t="s">
        <v>42</v>
      </c>
      <c r="Q120" s="18" t="s">
        <v>43</v>
      </c>
      <c r="R120" s="18">
        <v>99999</v>
      </c>
      <c r="S120" s="18" t="s">
        <v>30</v>
      </c>
      <c r="T120" s="18" t="s">
        <v>48</v>
      </c>
      <c r="U120" s="18" t="s">
        <v>150</v>
      </c>
      <c r="V120" s="18" t="s">
        <v>151</v>
      </c>
      <c r="W120" s="19">
        <v>7</v>
      </c>
      <c r="X120" s="18">
        <v>72</v>
      </c>
      <c r="Y120" s="19">
        <v>504</v>
      </c>
      <c r="Z120" s="20">
        <v>51.912000000000006</v>
      </c>
    </row>
    <row r="121" spans="1:26" x14ac:dyDescent="0.25">
      <c r="A121" s="16">
        <v>1131</v>
      </c>
      <c r="B121" s="17">
        <v>41767</v>
      </c>
      <c r="C121" s="18">
        <v>8</v>
      </c>
      <c r="D121" s="18" t="s">
        <v>56</v>
      </c>
      <c r="E121" s="18" t="s">
        <v>57</v>
      </c>
      <c r="F121" s="18" t="s">
        <v>58</v>
      </c>
      <c r="G121" s="18" t="s">
        <v>59</v>
      </c>
      <c r="H121" s="18">
        <v>99999</v>
      </c>
      <c r="I121" s="18" t="s">
        <v>30</v>
      </c>
      <c r="J121" s="18" t="s">
        <v>60</v>
      </c>
      <c r="K121" s="18" t="s">
        <v>61</v>
      </c>
      <c r="L121" s="17">
        <v>41769</v>
      </c>
      <c r="M121" s="18" t="s">
        <v>62</v>
      </c>
      <c r="N121" s="18" t="s">
        <v>63</v>
      </c>
      <c r="O121" s="18" t="s">
        <v>57</v>
      </c>
      <c r="P121" s="18" t="s">
        <v>58</v>
      </c>
      <c r="Q121" s="18" t="s">
        <v>59</v>
      </c>
      <c r="R121" s="18">
        <v>99999</v>
      </c>
      <c r="S121" s="18" t="s">
        <v>30</v>
      </c>
      <c r="T121" s="18" t="s">
        <v>48</v>
      </c>
      <c r="U121" s="18" t="s">
        <v>133</v>
      </c>
      <c r="V121" s="18" t="s">
        <v>134</v>
      </c>
      <c r="W121" s="19">
        <v>34.799999999999997</v>
      </c>
      <c r="X121" s="18">
        <v>22</v>
      </c>
      <c r="Y121" s="19">
        <v>765.59999999999991</v>
      </c>
      <c r="Z121" s="20">
        <v>75.02879999999999</v>
      </c>
    </row>
    <row r="122" spans="1:26" x14ac:dyDescent="0.25">
      <c r="A122" s="16">
        <v>1134</v>
      </c>
      <c r="B122" s="17">
        <v>41762</v>
      </c>
      <c r="C122" s="18">
        <v>3</v>
      </c>
      <c r="D122" s="18" t="s">
        <v>74</v>
      </c>
      <c r="E122" s="18" t="s">
        <v>75</v>
      </c>
      <c r="F122" s="18" t="s">
        <v>76</v>
      </c>
      <c r="G122" s="18" t="s">
        <v>77</v>
      </c>
      <c r="H122" s="18">
        <v>99999</v>
      </c>
      <c r="I122" s="18" t="s">
        <v>30</v>
      </c>
      <c r="J122" s="18" t="s">
        <v>31</v>
      </c>
      <c r="K122" s="18" t="s">
        <v>32</v>
      </c>
      <c r="L122" s="17">
        <v>41764</v>
      </c>
      <c r="M122" s="18" t="s">
        <v>33</v>
      </c>
      <c r="N122" s="18" t="s">
        <v>78</v>
      </c>
      <c r="O122" s="18" t="s">
        <v>75</v>
      </c>
      <c r="P122" s="18" t="s">
        <v>76</v>
      </c>
      <c r="Q122" s="18" t="s">
        <v>77</v>
      </c>
      <c r="R122" s="18">
        <v>99999</v>
      </c>
      <c r="S122" s="18" t="s">
        <v>30</v>
      </c>
      <c r="T122" s="18" t="s">
        <v>79</v>
      </c>
      <c r="U122" s="18" t="s">
        <v>135</v>
      </c>
      <c r="V122" s="18" t="s">
        <v>112</v>
      </c>
      <c r="W122" s="19">
        <v>10</v>
      </c>
      <c r="X122" s="18">
        <v>82</v>
      </c>
      <c r="Y122" s="19">
        <v>820</v>
      </c>
      <c r="Z122" s="20">
        <v>85.28</v>
      </c>
    </row>
    <row r="123" spans="1:26" x14ac:dyDescent="0.25">
      <c r="A123" s="16">
        <v>1135</v>
      </c>
      <c r="B123" s="17">
        <v>41762</v>
      </c>
      <c r="C123" s="18">
        <v>3</v>
      </c>
      <c r="D123" s="18" t="s">
        <v>74</v>
      </c>
      <c r="E123" s="18" t="s">
        <v>75</v>
      </c>
      <c r="F123" s="18" t="s">
        <v>76</v>
      </c>
      <c r="G123" s="18" t="s">
        <v>77</v>
      </c>
      <c r="H123" s="18">
        <v>99999</v>
      </c>
      <c r="I123" s="18" t="s">
        <v>30</v>
      </c>
      <c r="J123" s="18" t="s">
        <v>31</v>
      </c>
      <c r="K123" s="18" t="s">
        <v>32</v>
      </c>
      <c r="L123" s="17">
        <v>41764</v>
      </c>
      <c r="M123" s="18" t="s">
        <v>33</v>
      </c>
      <c r="N123" s="18" t="s">
        <v>78</v>
      </c>
      <c r="O123" s="18" t="s">
        <v>75</v>
      </c>
      <c r="P123" s="18" t="s">
        <v>76</v>
      </c>
      <c r="Q123" s="18" t="s">
        <v>77</v>
      </c>
      <c r="R123" s="18">
        <v>99999</v>
      </c>
      <c r="S123" s="18" t="s">
        <v>30</v>
      </c>
      <c r="T123" s="18" t="s">
        <v>79</v>
      </c>
      <c r="U123" s="18" t="s">
        <v>88</v>
      </c>
      <c r="V123" s="18" t="s">
        <v>89</v>
      </c>
      <c r="W123" s="19">
        <v>40</v>
      </c>
      <c r="X123" s="18">
        <v>98</v>
      </c>
      <c r="Y123" s="19">
        <v>3920</v>
      </c>
      <c r="Z123" s="20">
        <v>411.6</v>
      </c>
    </row>
    <row r="124" spans="1:26" x14ac:dyDescent="0.25">
      <c r="A124" s="16">
        <v>1138</v>
      </c>
      <c r="B124" s="17">
        <v>41797</v>
      </c>
      <c r="C124" s="18">
        <v>7</v>
      </c>
      <c r="D124" s="18" t="s">
        <v>104</v>
      </c>
      <c r="E124" s="18" t="s">
        <v>105</v>
      </c>
      <c r="F124" s="18" t="s">
        <v>106</v>
      </c>
      <c r="G124" s="18" t="s">
        <v>107</v>
      </c>
      <c r="H124" s="18">
        <v>99999</v>
      </c>
      <c r="I124" s="18" t="s">
        <v>30</v>
      </c>
      <c r="J124" s="18" t="s">
        <v>60</v>
      </c>
      <c r="K124" s="18" t="s">
        <v>61</v>
      </c>
      <c r="L124" s="17"/>
      <c r="M124" s="18"/>
      <c r="N124" s="18" t="s">
        <v>108</v>
      </c>
      <c r="O124" s="18" t="s">
        <v>105</v>
      </c>
      <c r="P124" s="18" t="s">
        <v>106</v>
      </c>
      <c r="Q124" s="18" t="s">
        <v>107</v>
      </c>
      <c r="R124" s="18">
        <v>99999</v>
      </c>
      <c r="S124" s="18" t="s">
        <v>30</v>
      </c>
      <c r="T124" s="18"/>
      <c r="U124" s="18" t="s">
        <v>55</v>
      </c>
      <c r="V124" s="18" t="s">
        <v>37</v>
      </c>
      <c r="W124" s="19">
        <v>46</v>
      </c>
      <c r="X124" s="18">
        <v>71</v>
      </c>
      <c r="Y124" s="19">
        <v>3266</v>
      </c>
      <c r="Z124" s="20">
        <v>310.27</v>
      </c>
    </row>
    <row r="125" spans="1:26" x14ac:dyDescent="0.25">
      <c r="A125" s="16">
        <v>1139</v>
      </c>
      <c r="B125" s="17">
        <v>41800</v>
      </c>
      <c r="C125" s="18">
        <v>10</v>
      </c>
      <c r="D125" s="18" t="s">
        <v>97</v>
      </c>
      <c r="E125" s="18" t="s">
        <v>98</v>
      </c>
      <c r="F125" s="18" t="s">
        <v>99</v>
      </c>
      <c r="G125" s="18" t="s">
        <v>100</v>
      </c>
      <c r="H125" s="18">
        <v>99999</v>
      </c>
      <c r="I125" s="18" t="s">
        <v>30</v>
      </c>
      <c r="J125" s="18" t="s">
        <v>101</v>
      </c>
      <c r="K125" s="18" t="s">
        <v>45</v>
      </c>
      <c r="L125" s="17">
        <v>41802</v>
      </c>
      <c r="M125" s="18" t="s">
        <v>46</v>
      </c>
      <c r="N125" s="18" t="s">
        <v>102</v>
      </c>
      <c r="O125" s="18" t="s">
        <v>98</v>
      </c>
      <c r="P125" s="18" t="s">
        <v>99</v>
      </c>
      <c r="Q125" s="18" t="s">
        <v>100</v>
      </c>
      <c r="R125" s="18">
        <v>99999</v>
      </c>
      <c r="S125" s="18" t="s">
        <v>30</v>
      </c>
      <c r="T125" s="18"/>
      <c r="U125" s="18" t="s">
        <v>109</v>
      </c>
      <c r="V125" s="18" t="s">
        <v>110</v>
      </c>
      <c r="W125" s="19">
        <v>25</v>
      </c>
      <c r="X125" s="18">
        <v>40</v>
      </c>
      <c r="Y125" s="19">
        <v>1000</v>
      </c>
      <c r="Z125" s="20">
        <v>105</v>
      </c>
    </row>
    <row r="126" spans="1:26" x14ac:dyDescent="0.25">
      <c r="A126" s="16">
        <v>1140</v>
      </c>
      <c r="B126" s="17">
        <v>41800</v>
      </c>
      <c r="C126" s="18">
        <v>10</v>
      </c>
      <c r="D126" s="18" t="s">
        <v>97</v>
      </c>
      <c r="E126" s="18" t="s">
        <v>98</v>
      </c>
      <c r="F126" s="18" t="s">
        <v>99</v>
      </c>
      <c r="G126" s="18" t="s">
        <v>100</v>
      </c>
      <c r="H126" s="18">
        <v>99999</v>
      </c>
      <c r="I126" s="18" t="s">
        <v>30</v>
      </c>
      <c r="J126" s="18" t="s">
        <v>101</v>
      </c>
      <c r="K126" s="18" t="s">
        <v>45</v>
      </c>
      <c r="L126" s="17">
        <v>41802</v>
      </c>
      <c r="M126" s="18" t="s">
        <v>46</v>
      </c>
      <c r="N126" s="18" t="s">
        <v>102</v>
      </c>
      <c r="O126" s="18" t="s">
        <v>98</v>
      </c>
      <c r="P126" s="18" t="s">
        <v>99</v>
      </c>
      <c r="Q126" s="18" t="s">
        <v>100</v>
      </c>
      <c r="R126" s="18">
        <v>99999</v>
      </c>
      <c r="S126" s="18" t="s">
        <v>30</v>
      </c>
      <c r="T126" s="18"/>
      <c r="U126" s="18" t="s">
        <v>111</v>
      </c>
      <c r="V126" s="18" t="s">
        <v>112</v>
      </c>
      <c r="W126" s="19">
        <v>22</v>
      </c>
      <c r="X126" s="18">
        <v>80</v>
      </c>
      <c r="Y126" s="19">
        <v>1760</v>
      </c>
      <c r="Z126" s="20">
        <v>172.48</v>
      </c>
    </row>
    <row r="127" spans="1:26" x14ac:dyDescent="0.25">
      <c r="A127" s="16">
        <v>1141</v>
      </c>
      <c r="B127" s="17">
        <v>41800</v>
      </c>
      <c r="C127" s="18">
        <v>10</v>
      </c>
      <c r="D127" s="18" t="s">
        <v>97</v>
      </c>
      <c r="E127" s="18" t="s">
        <v>98</v>
      </c>
      <c r="F127" s="18" t="s">
        <v>99</v>
      </c>
      <c r="G127" s="18" t="s">
        <v>100</v>
      </c>
      <c r="H127" s="18">
        <v>99999</v>
      </c>
      <c r="I127" s="18" t="s">
        <v>30</v>
      </c>
      <c r="J127" s="18" t="s">
        <v>101</v>
      </c>
      <c r="K127" s="18" t="s">
        <v>45</v>
      </c>
      <c r="L127" s="17">
        <v>41802</v>
      </c>
      <c r="M127" s="18" t="s">
        <v>46</v>
      </c>
      <c r="N127" s="18" t="s">
        <v>102</v>
      </c>
      <c r="O127" s="18" t="s">
        <v>98</v>
      </c>
      <c r="P127" s="18" t="s">
        <v>99</v>
      </c>
      <c r="Q127" s="18" t="s">
        <v>100</v>
      </c>
      <c r="R127" s="18">
        <v>99999</v>
      </c>
      <c r="S127" s="18" t="s">
        <v>30</v>
      </c>
      <c r="T127" s="18"/>
      <c r="U127" s="18" t="s">
        <v>64</v>
      </c>
      <c r="V127" s="18" t="s">
        <v>65</v>
      </c>
      <c r="W127" s="19">
        <v>9.1999999999999993</v>
      </c>
      <c r="X127" s="18">
        <v>38</v>
      </c>
      <c r="Y127" s="19">
        <v>349.59999999999997</v>
      </c>
      <c r="Z127" s="20">
        <v>33.211999999999996</v>
      </c>
    </row>
    <row r="128" spans="1:26" x14ac:dyDescent="0.25">
      <c r="A128" s="16">
        <v>1142</v>
      </c>
      <c r="B128" s="17">
        <v>41801</v>
      </c>
      <c r="C128" s="18">
        <v>11</v>
      </c>
      <c r="D128" s="18" t="s">
        <v>113</v>
      </c>
      <c r="E128" s="18" t="s">
        <v>114</v>
      </c>
      <c r="F128" s="18" t="s">
        <v>115</v>
      </c>
      <c r="G128" s="18" t="s">
        <v>116</v>
      </c>
      <c r="H128" s="18">
        <v>99999</v>
      </c>
      <c r="I128" s="18" t="s">
        <v>30</v>
      </c>
      <c r="J128" s="18" t="s">
        <v>94</v>
      </c>
      <c r="K128" s="18" t="s">
        <v>95</v>
      </c>
      <c r="L128" s="17"/>
      <c r="M128" s="18" t="s">
        <v>62</v>
      </c>
      <c r="N128" s="18" t="s">
        <v>117</v>
      </c>
      <c r="O128" s="18" t="s">
        <v>114</v>
      </c>
      <c r="P128" s="18" t="s">
        <v>115</v>
      </c>
      <c r="Q128" s="18" t="s">
        <v>116</v>
      </c>
      <c r="R128" s="18">
        <v>99999</v>
      </c>
      <c r="S128" s="18" t="s">
        <v>30</v>
      </c>
      <c r="T128" s="18"/>
      <c r="U128" s="18" t="s">
        <v>38</v>
      </c>
      <c r="V128" s="18" t="s">
        <v>39</v>
      </c>
      <c r="W128" s="19">
        <v>3.5</v>
      </c>
      <c r="X128" s="18">
        <v>28</v>
      </c>
      <c r="Y128" s="19">
        <v>98</v>
      </c>
      <c r="Z128" s="20">
        <v>10.290000000000001</v>
      </c>
    </row>
    <row r="129" spans="1:26" x14ac:dyDescent="0.25">
      <c r="A129" s="16">
        <v>1143</v>
      </c>
      <c r="B129" s="17">
        <v>41801</v>
      </c>
      <c r="C129" s="18">
        <v>11</v>
      </c>
      <c r="D129" s="18" t="s">
        <v>113</v>
      </c>
      <c r="E129" s="18" t="s">
        <v>114</v>
      </c>
      <c r="F129" s="18" t="s">
        <v>115</v>
      </c>
      <c r="G129" s="18" t="s">
        <v>116</v>
      </c>
      <c r="H129" s="18">
        <v>99999</v>
      </c>
      <c r="I129" s="18" t="s">
        <v>30</v>
      </c>
      <c r="J129" s="18" t="s">
        <v>94</v>
      </c>
      <c r="K129" s="18" t="s">
        <v>95</v>
      </c>
      <c r="L129" s="17"/>
      <c r="M129" s="18" t="s">
        <v>62</v>
      </c>
      <c r="N129" s="18" t="s">
        <v>117</v>
      </c>
      <c r="O129" s="18" t="s">
        <v>114</v>
      </c>
      <c r="P129" s="18" t="s">
        <v>115</v>
      </c>
      <c r="Q129" s="18" t="s">
        <v>116</v>
      </c>
      <c r="R129" s="18">
        <v>99999</v>
      </c>
      <c r="S129" s="18" t="s">
        <v>30</v>
      </c>
      <c r="T129" s="18"/>
      <c r="U129" s="18" t="s">
        <v>103</v>
      </c>
      <c r="V129" s="18" t="s">
        <v>37</v>
      </c>
      <c r="W129" s="19">
        <v>2.99</v>
      </c>
      <c r="X129" s="18">
        <v>60</v>
      </c>
      <c r="Y129" s="19">
        <v>179.4</v>
      </c>
      <c r="Z129" s="20">
        <v>17.581200000000003</v>
      </c>
    </row>
    <row r="130" spans="1:26" x14ac:dyDescent="0.25">
      <c r="A130" s="16">
        <v>1144</v>
      </c>
      <c r="B130" s="17">
        <v>41791</v>
      </c>
      <c r="C130" s="18">
        <v>1</v>
      </c>
      <c r="D130" s="18" t="s">
        <v>118</v>
      </c>
      <c r="E130" s="18" t="s">
        <v>119</v>
      </c>
      <c r="F130" s="18" t="s">
        <v>120</v>
      </c>
      <c r="G130" s="18" t="s">
        <v>121</v>
      </c>
      <c r="H130" s="18">
        <v>99999</v>
      </c>
      <c r="I130" s="18" t="s">
        <v>30</v>
      </c>
      <c r="J130" s="18" t="s">
        <v>60</v>
      </c>
      <c r="K130" s="18" t="s">
        <v>61</v>
      </c>
      <c r="L130" s="17"/>
      <c r="M130" s="18"/>
      <c r="N130" s="18" t="s">
        <v>122</v>
      </c>
      <c r="O130" s="18" t="s">
        <v>119</v>
      </c>
      <c r="P130" s="18" t="s">
        <v>120</v>
      </c>
      <c r="Q130" s="18" t="s">
        <v>121</v>
      </c>
      <c r="R130" s="18">
        <v>99999</v>
      </c>
      <c r="S130" s="18" t="s">
        <v>30</v>
      </c>
      <c r="T130" s="18"/>
      <c r="U130" s="18" t="s">
        <v>54</v>
      </c>
      <c r="V130" s="18" t="s">
        <v>37</v>
      </c>
      <c r="W130" s="19">
        <v>18</v>
      </c>
      <c r="X130" s="18">
        <v>33</v>
      </c>
      <c r="Y130" s="19">
        <v>594</v>
      </c>
      <c r="Z130" s="20">
        <v>58.212000000000003</v>
      </c>
    </row>
    <row r="131" spans="1:26" x14ac:dyDescent="0.25">
      <c r="A131" s="16">
        <v>1145</v>
      </c>
      <c r="B131" s="17">
        <v>41791</v>
      </c>
      <c r="C131" s="18">
        <v>1</v>
      </c>
      <c r="D131" s="18" t="s">
        <v>118</v>
      </c>
      <c r="E131" s="18" t="s">
        <v>119</v>
      </c>
      <c r="F131" s="18" t="s">
        <v>120</v>
      </c>
      <c r="G131" s="18" t="s">
        <v>121</v>
      </c>
      <c r="H131" s="18">
        <v>99999</v>
      </c>
      <c r="I131" s="18" t="s">
        <v>30</v>
      </c>
      <c r="J131" s="18" t="s">
        <v>60</v>
      </c>
      <c r="K131" s="18" t="s">
        <v>61</v>
      </c>
      <c r="L131" s="17"/>
      <c r="M131" s="18"/>
      <c r="N131" s="18" t="s">
        <v>122</v>
      </c>
      <c r="O131" s="18" t="s">
        <v>119</v>
      </c>
      <c r="P131" s="18" t="s">
        <v>120</v>
      </c>
      <c r="Q131" s="18" t="s">
        <v>121</v>
      </c>
      <c r="R131" s="18">
        <v>99999</v>
      </c>
      <c r="S131" s="18" t="s">
        <v>30</v>
      </c>
      <c r="T131" s="18"/>
      <c r="U131" s="18" t="s">
        <v>55</v>
      </c>
      <c r="V131" s="18" t="s">
        <v>37</v>
      </c>
      <c r="W131" s="19">
        <v>46</v>
      </c>
      <c r="X131" s="18">
        <v>22</v>
      </c>
      <c r="Y131" s="19">
        <v>1012</v>
      </c>
      <c r="Z131" s="20">
        <v>101.2</v>
      </c>
    </row>
    <row r="132" spans="1:26" x14ac:dyDescent="0.25">
      <c r="A132" s="16">
        <v>1146</v>
      </c>
      <c r="B132" s="17">
        <v>41791</v>
      </c>
      <c r="C132" s="18">
        <v>1</v>
      </c>
      <c r="D132" s="18" t="s">
        <v>118</v>
      </c>
      <c r="E132" s="18" t="s">
        <v>119</v>
      </c>
      <c r="F132" s="18" t="s">
        <v>120</v>
      </c>
      <c r="G132" s="18" t="s">
        <v>121</v>
      </c>
      <c r="H132" s="18">
        <v>99999</v>
      </c>
      <c r="I132" s="18" t="s">
        <v>30</v>
      </c>
      <c r="J132" s="18" t="s">
        <v>60</v>
      </c>
      <c r="K132" s="18" t="s">
        <v>61</v>
      </c>
      <c r="L132" s="17"/>
      <c r="M132" s="18"/>
      <c r="N132" s="18" t="s">
        <v>122</v>
      </c>
      <c r="O132" s="18" t="s">
        <v>119</v>
      </c>
      <c r="P132" s="18" t="s">
        <v>120</v>
      </c>
      <c r="Q132" s="18" t="s">
        <v>121</v>
      </c>
      <c r="R132" s="18">
        <v>99999</v>
      </c>
      <c r="S132" s="18" t="s">
        <v>30</v>
      </c>
      <c r="T132" s="18"/>
      <c r="U132" s="18" t="s">
        <v>103</v>
      </c>
      <c r="V132" s="18" t="s">
        <v>37</v>
      </c>
      <c r="W132" s="19">
        <v>2.99</v>
      </c>
      <c r="X132" s="18">
        <v>51</v>
      </c>
      <c r="Y132" s="19">
        <v>152.49</v>
      </c>
      <c r="Z132" s="20">
        <v>14.944020000000002</v>
      </c>
    </row>
    <row r="133" spans="1:26" x14ac:dyDescent="0.25">
      <c r="A133" s="16">
        <v>1147</v>
      </c>
      <c r="B133" s="17">
        <v>41818</v>
      </c>
      <c r="C133" s="18">
        <v>28</v>
      </c>
      <c r="D133" s="18" t="s">
        <v>90</v>
      </c>
      <c r="E133" s="18" t="s">
        <v>91</v>
      </c>
      <c r="F133" s="18" t="s">
        <v>92</v>
      </c>
      <c r="G133" s="18" t="s">
        <v>93</v>
      </c>
      <c r="H133" s="18">
        <v>99999</v>
      </c>
      <c r="I133" s="18" t="s">
        <v>30</v>
      </c>
      <c r="J133" s="18" t="s">
        <v>94</v>
      </c>
      <c r="K133" s="18" t="s">
        <v>95</v>
      </c>
      <c r="L133" s="17">
        <v>41820</v>
      </c>
      <c r="M133" s="18" t="s">
        <v>62</v>
      </c>
      <c r="N133" s="18" t="s">
        <v>96</v>
      </c>
      <c r="O133" s="18" t="s">
        <v>91</v>
      </c>
      <c r="P133" s="18" t="s">
        <v>92</v>
      </c>
      <c r="Q133" s="18" t="s">
        <v>93</v>
      </c>
      <c r="R133" s="18">
        <v>99999</v>
      </c>
      <c r="S133" s="18" t="s">
        <v>30</v>
      </c>
      <c r="T133" s="18" t="s">
        <v>48</v>
      </c>
      <c r="U133" s="18" t="s">
        <v>80</v>
      </c>
      <c r="V133" s="18" t="s">
        <v>81</v>
      </c>
      <c r="W133" s="19">
        <v>9.65</v>
      </c>
      <c r="X133" s="18">
        <v>60</v>
      </c>
      <c r="Y133" s="19">
        <v>579</v>
      </c>
      <c r="Z133" s="20">
        <v>57.321000000000005</v>
      </c>
    </row>
    <row r="134" spans="1:26" x14ac:dyDescent="0.25">
      <c r="A134" s="16">
        <v>1148</v>
      </c>
      <c r="B134" s="17">
        <v>41818</v>
      </c>
      <c r="C134" s="18">
        <v>28</v>
      </c>
      <c r="D134" s="18" t="s">
        <v>90</v>
      </c>
      <c r="E134" s="18" t="s">
        <v>91</v>
      </c>
      <c r="F134" s="18" t="s">
        <v>92</v>
      </c>
      <c r="G134" s="18" t="s">
        <v>93</v>
      </c>
      <c r="H134" s="18">
        <v>99999</v>
      </c>
      <c r="I134" s="18" t="s">
        <v>30</v>
      </c>
      <c r="J134" s="18" t="s">
        <v>94</v>
      </c>
      <c r="K134" s="18" t="s">
        <v>95</v>
      </c>
      <c r="L134" s="17">
        <v>41820</v>
      </c>
      <c r="M134" s="18" t="s">
        <v>62</v>
      </c>
      <c r="N134" s="18" t="s">
        <v>96</v>
      </c>
      <c r="O134" s="18" t="s">
        <v>91</v>
      </c>
      <c r="P134" s="18" t="s">
        <v>92</v>
      </c>
      <c r="Q134" s="18" t="s">
        <v>93</v>
      </c>
      <c r="R134" s="18">
        <v>99999</v>
      </c>
      <c r="S134" s="18" t="s">
        <v>30</v>
      </c>
      <c r="T134" s="18" t="s">
        <v>48</v>
      </c>
      <c r="U134" s="18" t="s">
        <v>123</v>
      </c>
      <c r="V134" s="18" t="s">
        <v>124</v>
      </c>
      <c r="W134" s="19">
        <v>18.399999999999999</v>
      </c>
      <c r="X134" s="18">
        <v>98</v>
      </c>
      <c r="Y134" s="19">
        <v>1803.1999999999998</v>
      </c>
      <c r="Z134" s="20">
        <v>183.9264</v>
      </c>
    </row>
    <row r="135" spans="1:26" x14ac:dyDescent="0.25">
      <c r="A135" s="16">
        <v>1149</v>
      </c>
      <c r="B135" s="17">
        <v>41799</v>
      </c>
      <c r="C135" s="18">
        <v>9</v>
      </c>
      <c r="D135" s="18" t="s">
        <v>125</v>
      </c>
      <c r="E135" s="18" t="s">
        <v>126</v>
      </c>
      <c r="F135" s="18" t="s">
        <v>127</v>
      </c>
      <c r="G135" s="18" t="s">
        <v>128</v>
      </c>
      <c r="H135" s="18">
        <v>99999</v>
      </c>
      <c r="I135" s="18" t="s">
        <v>30</v>
      </c>
      <c r="J135" s="18" t="s">
        <v>129</v>
      </c>
      <c r="K135" s="18" t="s">
        <v>32</v>
      </c>
      <c r="L135" s="17">
        <v>41801</v>
      </c>
      <c r="M135" s="18" t="s">
        <v>46</v>
      </c>
      <c r="N135" s="18" t="s">
        <v>130</v>
      </c>
      <c r="O135" s="18" t="s">
        <v>126</v>
      </c>
      <c r="P135" s="18" t="s">
        <v>127</v>
      </c>
      <c r="Q135" s="18" t="s">
        <v>128</v>
      </c>
      <c r="R135" s="18">
        <v>99999</v>
      </c>
      <c r="S135" s="18" t="s">
        <v>30</v>
      </c>
      <c r="T135" s="18" t="s">
        <v>35</v>
      </c>
      <c r="U135" s="18" t="s">
        <v>131</v>
      </c>
      <c r="V135" s="18" t="s">
        <v>132</v>
      </c>
      <c r="W135" s="19">
        <v>19.5</v>
      </c>
      <c r="X135" s="18">
        <v>27</v>
      </c>
      <c r="Y135" s="19">
        <v>526.5</v>
      </c>
      <c r="Z135" s="20">
        <v>51.070500000000003</v>
      </c>
    </row>
    <row r="136" spans="1:26" x14ac:dyDescent="0.25">
      <c r="A136" s="16">
        <v>1150</v>
      </c>
      <c r="B136" s="17">
        <v>41799</v>
      </c>
      <c r="C136" s="18">
        <v>9</v>
      </c>
      <c r="D136" s="18" t="s">
        <v>125</v>
      </c>
      <c r="E136" s="18" t="s">
        <v>126</v>
      </c>
      <c r="F136" s="18" t="s">
        <v>127</v>
      </c>
      <c r="G136" s="18" t="s">
        <v>128</v>
      </c>
      <c r="H136" s="18">
        <v>99999</v>
      </c>
      <c r="I136" s="18" t="s">
        <v>30</v>
      </c>
      <c r="J136" s="18" t="s">
        <v>129</v>
      </c>
      <c r="K136" s="18" t="s">
        <v>32</v>
      </c>
      <c r="L136" s="17">
        <v>41801</v>
      </c>
      <c r="M136" s="18" t="s">
        <v>46</v>
      </c>
      <c r="N136" s="18" t="s">
        <v>130</v>
      </c>
      <c r="O136" s="18" t="s">
        <v>126</v>
      </c>
      <c r="P136" s="18" t="s">
        <v>127</v>
      </c>
      <c r="Q136" s="18" t="s">
        <v>128</v>
      </c>
      <c r="R136" s="18">
        <v>99999</v>
      </c>
      <c r="S136" s="18" t="s">
        <v>30</v>
      </c>
      <c r="T136" s="18" t="s">
        <v>35</v>
      </c>
      <c r="U136" s="18" t="s">
        <v>133</v>
      </c>
      <c r="V136" s="18" t="s">
        <v>134</v>
      </c>
      <c r="W136" s="19">
        <v>34.799999999999997</v>
      </c>
      <c r="X136" s="18">
        <v>88</v>
      </c>
      <c r="Y136" s="19">
        <v>3062.3999999999996</v>
      </c>
      <c r="Z136" s="20">
        <v>303.17759999999993</v>
      </c>
    </row>
    <row r="137" spans="1:26" x14ac:dyDescent="0.25">
      <c r="A137" s="16">
        <v>1151</v>
      </c>
      <c r="B137" s="17">
        <v>41796</v>
      </c>
      <c r="C137" s="18">
        <v>6</v>
      </c>
      <c r="D137" s="18" t="s">
        <v>82</v>
      </c>
      <c r="E137" s="18" t="s">
        <v>83</v>
      </c>
      <c r="F137" s="18" t="s">
        <v>84</v>
      </c>
      <c r="G137" s="18" t="s">
        <v>85</v>
      </c>
      <c r="H137" s="18">
        <v>99999</v>
      </c>
      <c r="I137" s="18" t="s">
        <v>30</v>
      </c>
      <c r="J137" s="18" t="s">
        <v>86</v>
      </c>
      <c r="K137" s="18" t="s">
        <v>61</v>
      </c>
      <c r="L137" s="17">
        <v>41798</v>
      </c>
      <c r="M137" s="18" t="s">
        <v>33</v>
      </c>
      <c r="N137" s="18" t="s">
        <v>87</v>
      </c>
      <c r="O137" s="18" t="s">
        <v>83</v>
      </c>
      <c r="P137" s="18" t="s">
        <v>84</v>
      </c>
      <c r="Q137" s="18" t="s">
        <v>85</v>
      </c>
      <c r="R137" s="18">
        <v>99999</v>
      </c>
      <c r="S137" s="18" t="s">
        <v>30</v>
      </c>
      <c r="T137" s="18" t="s">
        <v>48</v>
      </c>
      <c r="U137" s="18" t="s">
        <v>36</v>
      </c>
      <c r="V137" s="18" t="s">
        <v>37</v>
      </c>
      <c r="W137" s="19">
        <v>14</v>
      </c>
      <c r="X137" s="18">
        <v>65</v>
      </c>
      <c r="Y137" s="19">
        <v>910</v>
      </c>
      <c r="Z137" s="20">
        <v>95.55</v>
      </c>
    </row>
    <row r="138" spans="1:26" x14ac:dyDescent="0.25">
      <c r="A138" s="16">
        <v>1152</v>
      </c>
      <c r="B138" s="17">
        <v>41798</v>
      </c>
      <c r="C138" s="18">
        <v>8</v>
      </c>
      <c r="D138" s="18" t="s">
        <v>56</v>
      </c>
      <c r="E138" s="18" t="s">
        <v>57</v>
      </c>
      <c r="F138" s="18" t="s">
        <v>58</v>
      </c>
      <c r="G138" s="18" t="s">
        <v>59</v>
      </c>
      <c r="H138" s="18">
        <v>99999</v>
      </c>
      <c r="I138" s="18" t="s">
        <v>30</v>
      </c>
      <c r="J138" s="18" t="s">
        <v>60</v>
      </c>
      <c r="K138" s="18" t="s">
        <v>61</v>
      </c>
      <c r="L138" s="17">
        <v>41800</v>
      </c>
      <c r="M138" s="18" t="s">
        <v>33</v>
      </c>
      <c r="N138" s="18" t="s">
        <v>63</v>
      </c>
      <c r="O138" s="18" t="s">
        <v>57</v>
      </c>
      <c r="P138" s="18" t="s">
        <v>58</v>
      </c>
      <c r="Q138" s="18" t="s">
        <v>59</v>
      </c>
      <c r="R138" s="18">
        <v>99999</v>
      </c>
      <c r="S138" s="18" t="s">
        <v>30</v>
      </c>
      <c r="T138" s="18" t="s">
        <v>35</v>
      </c>
      <c r="U138" s="18" t="s">
        <v>88</v>
      </c>
      <c r="V138" s="18" t="s">
        <v>89</v>
      </c>
      <c r="W138" s="19">
        <v>40</v>
      </c>
      <c r="X138" s="18">
        <v>38</v>
      </c>
      <c r="Y138" s="19">
        <v>1520</v>
      </c>
      <c r="Z138" s="20">
        <v>148.96</v>
      </c>
    </row>
    <row r="139" spans="1:26" x14ac:dyDescent="0.25">
      <c r="A139" s="16">
        <v>1153</v>
      </c>
      <c r="B139" s="17">
        <v>41798</v>
      </c>
      <c r="C139" s="18">
        <v>8</v>
      </c>
      <c r="D139" s="18" t="s">
        <v>56</v>
      </c>
      <c r="E139" s="18" t="s">
        <v>57</v>
      </c>
      <c r="F139" s="18" t="s">
        <v>58</v>
      </c>
      <c r="G139" s="18" t="s">
        <v>59</v>
      </c>
      <c r="H139" s="18">
        <v>99999</v>
      </c>
      <c r="I139" s="18" t="s">
        <v>30</v>
      </c>
      <c r="J139" s="18" t="s">
        <v>60</v>
      </c>
      <c r="K139" s="18" t="s">
        <v>61</v>
      </c>
      <c r="L139" s="18">
        <v>41800</v>
      </c>
      <c r="M139" s="18" t="s">
        <v>33</v>
      </c>
      <c r="N139" s="18" t="s">
        <v>63</v>
      </c>
      <c r="O139" s="18" t="s">
        <v>57</v>
      </c>
      <c r="P139" s="18" t="s">
        <v>58</v>
      </c>
      <c r="Q139" s="18" t="s">
        <v>59</v>
      </c>
      <c r="R139" s="18">
        <v>99999</v>
      </c>
      <c r="S139" s="18" t="s">
        <v>30</v>
      </c>
      <c r="T139" s="18" t="s">
        <v>35</v>
      </c>
      <c r="U139" s="18" t="s">
        <v>64</v>
      </c>
      <c r="V139" s="18" t="s">
        <v>65</v>
      </c>
      <c r="W139" s="19">
        <v>9.1999999999999993</v>
      </c>
      <c r="X139" s="18">
        <v>80</v>
      </c>
      <c r="Y139" s="19">
        <v>736</v>
      </c>
      <c r="Z139" s="20">
        <v>70.656000000000006</v>
      </c>
    </row>
    <row r="140" spans="1:26" x14ac:dyDescent="0.25">
      <c r="A140" s="16">
        <v>1154</v>
      </c>
      <c r="B140" s="17">
        <v>41815</v>
      </c>
      <c r="C140" s="18">
        <v>25</v>
      </c>
      <c r="D140" s="18" t="s">
        <v>137</v>
      </c>
      <c r="E140" s="18" t="s">
        <v>138</v>
      </c>
      <c r="F140" s="18" t="s">
        <v>99</v>
      </c>
      <c r="G140" s="18" t="s">
        <v>100</v>
      </c>
      <c r="H140" s="18">
        <v>99999</v>
      </c>
      <c r="I140" s="18" t="s">
        <v>30</v>
      </c>
      <c r="J140" s="18" t="s">
        <v>101</v>
      </c>
      <c r="K140" s="18" t="s">
        <v>45</v>
      </c>
      <c r="L140" s="17">
        <v>41817</v>
      </c>
      <c r="M140" s="18" t="s">
        <v>46</v>
      </c>
      <c r="N140" s="18" t="s">
        <v>139</v>
      </c>
      <c r="O140" s="18" t="s">
        <v>138</v>
      </c>
      <c r="P140" s="18" t="s">
        <v>99</v>
      </c>
      <c r="Q140" s="18" t="s">
        <v>100</v>
      </c>
      <c r="R140" s="18">
        <v>99999</v>
      </c>
      <c r="S140" s="18" t="s">
        <v>30</v>
      </c>
      <c r="T140" s="18" t="s">
        <v>79</v>
      </c>
      <c r="U140" s="18" t="s">
        <v>146</v>
      </c>
      <c r="V140" s="18" t="s">
        <v>65</v>
      </c>
      <c r="W140" s="19">
        <v>10</v>
      </c>
      <c r="X140" s="18">
        <v>49</v>
      </c>
      <c r="Y140" s="19">
        <v>490</v>
      </c>
      <c r="Z140" s="20">
        <v>47.04</v>
      </c>
    </row>
    <row r="141" spans="1:26" x14ac:dyDescent="0.25">
      <c r="A141" s="16">
        <v>1155</v>
      </c>
      <c r="B141" s="17">
        <v>41816</v>
      </c>
      <c r="C141" s="18">
        <v>26</v>
      </c>
      <c r="D141" s="18" t="s">
        <v>140</v>
      </c>
      <c r="E141" s="18" t="s">
        <v>141</v>
      </c>
      <c r="F141" s="18" t="s">
        <v>115</v>
      </c>
      <c r="G141" s="18" t="s">
        <v>116</v>
      </c>
      <c r="H141" s="18">
        <v>99999</v>
      </c>
      <c r="I141" s="18" t="s">
        <v>30</v>
      </c>
      <c r="J141" s="18" t="s">
        <v>94</v>
      </c>
      <c r="K141" s="18" t="s">
        <v>95</v>
      </c>
      <c r="L141" s="17">
        <v>41818</v>
      </c>
      <c r="M141" s="18" t="s">
        <v>62</v>
      </c>
      <c r="N141" s="18" t="s">
        <v>142</v>
      </c>
      <c r="O141" s="18" t="s">
        <v>141</v>
      </c>
      <c r="P141" s="18" t="s">
        <v>115</v>
      </c>
      <c r="Q141" s="18" t="s">
        <v>116</v>
      </c>
      <c r="R141" s="18">
        <v>99999</v>
      </c>
      <c r="S141" s="18" t="s">
        <v>30</v>
      </c>
      <c r="T141" s="18" t="s">
        <v>48</v>
      </c>
      <c r="U141" s="18" t="s">
        <v>147</v>
      </c>
      <c r="V141" s="18" t="s">
        <v>148</v>
      </c>
      <c r="W141" s="19">
        <v>21.35</v>
      </c>
      <c r="X141" s="18">
        <v>90</v>
      </c>
      <c r="Y141" s="19">
        <v>1921.5000000000002</v>
      </c>
      <c r="Z141" s="20">
        <v>186.38550000000004</v>
      </c>
    </row>
    <row r="142" spans="1:26" x14ac:dyDescent="0.25">
      <c r="A142" s="16">
        <v>1156</v>
      </c>
      <c r="B142" s="17">
        <v>41816</v>
      </c>
      <c r="C142" s="18">
        <v>26</v>
      </c>
      <c r="D142" s="18" t="s">
        <v>140</v>
      </c>
      <c r="E142" s="18" t="s">
        <v>141</v>
      </c>
      <c r="F142" s="18" t="s">
        <v>115</v>
      </c>
      <c r="G142" s="18" t="s">
        <v>116</v>
      </c>
      <c r="H142" s="18">
        <v>99999</v>
      </c>
      <c r="I142" s="18" t="s">
        <v>30</v>
      </c>
      <c r="J142" s="18" t="s">
        <v>94</v>
      </c>
      <c r="K142" s="18" t="s">
        <v>95</v>
      </c>
      <c r="L142" s="17">
        <v>41818</v>
      </c>
      <c r="M142" s="18" t="s">
        <v>62</v>
      </c>
      <c r="N142" s="18" t="s">
        <v>142</v>
      </c>
      <c r="O142" s="18" t="s">
        <v>141</v>
      </c>
      <c r="P142" s="18" t="s">
        <v>115</v>
      </c>
      <c r="Q142" s="18" t="s">
        <v>116</v>
      </c>
      <c r="R142" s="18">
        <v>99999</v>
      </c>
      <c r="S142" s="18" t="s">
        <v>30</v>
      </c>
      <c r="T142" s="18" t="s">
        <v>48</v>
      </c>
      <c r="U142" s="18" t="s">
        <v>80</v>
      </c>
      <c r="V142" s="18" t="s">
        <v>81</v>
      </c>
      <c r="W142" s="19">
        <v>9.65</v>
      </c>
      <c r="X142" s="18">
        <v>60</v>
      </c>
      <c r="Y142" s="19">
        <v>579</v>
      </c>
      <c r="Z142" s="20">
        <v>59.637000000000008</v>
      </c>
    </row>
    <row r="143" spans="1:26" x14ac:dyDescent="0.25">
      <c r="A143" s="16">
        <v>1157</v>
      </c>
      <c r="B143" s="17">
        <v>41816</v>
      </c>
      <c r="C143" s="18">
        <v>26</v>
      </c>
      <c r="D143" s="18" t="s">
        <v>140</v>
      </c>
      <c r="E143" s="18" t="s">
        <v>141</v>
      </c>
      <c r="F143" s="18" t="s">
        <v>115</v>
      </c>
      <c r="G143" s="18" t="s">
        <v>116</v>
      </c>
      <c r="H143" s="18">
        <v>99999</v>
      </c>
      <c r="I143" s="18" t="s">
        <v>30</v>
      </c>
      <c r="J143" s="18" t="s">
        <v>94</v>
      </c>
      <c r="K143" s="18" t="s">
        <v>95</v>
      </c>
      <c r="L143" s="18">
        <v>41818</v>
      </c>
      <c r="M143" s="18" t="s">
        <v>62</v>
      </c>
      <c r="N143" s="18" t="s">
        <v>142</v>
      </c>
      <c r="O143" s="18" t="s">
        <v>141</v>
      </c>
      <c r="P143" s="18" t="s">
        <v>115</v>
      </c>
      <c r="Q143" s="18" t="s">
        <v>116</v>
      </c>
      <c r="R143" s="18">
        <v>99999</v>
      </c>
      <c r="S143" s="18" t="s">
        <v>30</v>
      </c>
      <c r="T143" s="18" t="s">
        <v>48</v>
      </c>
      <c r="U143" s="18" t="s">
        <v>123</v>
      </c>
      <c r="V143" s="18" t="s">
        <v>124</v>
      </c>
      <c r="W143" s="19">
        <v>18.399999999999999</v>
      </c>
      <c r="X143" s="18">
        <v>39</v>
      </c>
      <c r="Y143" s="19">
        <v>717.59999999999991</v>
      </c>
      <c r="Z143" s="20">
        <v>71.759999999999991</v>
      </c>
    </row>
    <row r="144" spans="1:26" x14ac:dyDescent="0.25">
      <c r="A144" s="16">
        <v>1158</v>
      </c>
      <c r="B144" s="17">
        <v>41819</v>
      </c>
      <c r="C144" s="18">
        <v>29</v>
      </c>
      <c r="D144" s="18" t="s">
        <v>66</v>
      </c>
      <c r="E144" s="18" t="s">
        <v>67</v>
      </c>
      <c r="F144" s="18" t="s">
        <v>68</v>
      </c>
      <c r="G144" s="18" t="s">
        <v>69</v>
      </c>
      <c r="H144" s="18">
        <v>99999</v>
      </c>
      <c r="I144" s="18" t="s">
        <v>30</v>
      </c>
      <c r="J144" s="18" t="s">
        <v>70</v>
      </c>
      <c r="K144" s="18" t="s">
        <v>32</v>
      </c>
      <c r="L144" s="18">
        <v>41821</v>
      </c>
      <c r="M144" s="18" t="s">
        <v>33</v>
      </c>
      <c r="N144" s="18" t="s">
        <v>71</v>
      </c>
      <c r="O144" s="18" t="s">
        <v>67</v>
      </c>
      <c r="P144" s="18" t="s">
        <v>68</v>
      </c>
      <c r="Q144" s="18" t="s">
        <v>69</v>
      </c>
      <c r="R144" s="18">
        <v>99999</v>
      </c>
      <c r="S144" s="18" t="s">
        <v>30</v>
      </c>
      <c r="T144" s="18" t="s">
        <v>35</v>
      </c>
      <c r="U144" s="18" t="s">
        <v>36</v>
      </c>
      <c r="V144" s="18" t="s">
        <v>37</v>
      </c>
      <c r="W144" s="19">
        <v>14</v>
      </c>
      <c r="X144" s="18">
        <v>79</v>
      </c>
      <c r="Y144" s="19">
        <v>1106</v>
      </c>
      <c r="Z144" s="20">
        <v>113.91800000000001</v>
      </c>
    </row>
    <row r="145" spans="1:26" x14ac:dyDescent="0.25">
      <c r="A145" s="16">
        <v>1159</v>
      </c>
      <c r="B145" s="17">
        <v>41796</v>
      </c>
      <c r="C145" s="18">
        <v>6</v>
      </c>
      <c r="D145" s="18" t="s">
        <v>82</v>
      </c>
      <c r="E145" s="18" t="s">
        <v>83</v>
      </c>
      <c r="F145" s="18" t="s">
        <v>84</v>
      </c>
      <c r="G145" s="18" t="s">
        <v>85</v>
      </c>
      <c r="H145" s="18">
        <v>99999</v>
      </c>
      <c r="I145" s="18" t="s">
        <v>30</v>
      </c>
      <c r="J145" s="18" t="s">
        <v>86</v>
      </c>
      <c r="K145" s="18" t="s">
        <v>61</v>
      </c>
      <c r="L145" s="18">
        <v>41798</v>
      </c>
      <c r="M145" s="18" t="s">
        <v>62</v>
      </c>
      <c r="N145" s="18" t="s">
        <v>87</v>
      </c>
      <c r="O145" s="18" t="s">
        <v>83</v>
      </c>
      <c r="P145" s="18" t="s">
        <v>84</v>
      </c>
      <c r="Q145" s="18" t="s">
        <v>85</v>
      </c>
      <c r="R145" s="18">
        <v>99999</v>
      </c>
      <c r="S145" s="18" t="s">
        <v>30</v>
      </c>
      <c r="T145" s="18" t="s">
        <v>35</v>
      </c>
      <c r="U145" s="18" t="s">
        <v>72</v>
      </c>
      <c r="V145" s="18" t="s">
        <v>73</v>
      </c>
      <c r="W145" s="19">
        <v>12.75</v>
      </c>
      <c r="X145" s="18">
        <v>44</v>
      </c>
      <c r="Y145" s="19">
        <v>561</v>
      </c>
      <c r="Z145" s="20">
        <v>57.222000000000001</v>
      </c>
    </row>
    <row r="146" spans="1:26" x14ac:dyDescent="0.25">
      <c r="A146" s="16">
        <v>1161</v>
      </c>
      <c r="B146" s="17">
        <v>41794</v>
      </c>
      <c r="C146" s="18">
        <v>4</v>
      </c>
      <c r="D146" s="18" t="s">
        <v>40</v>
      </c>
      <c r="E146" s="18" t="s">
        <v>41</v>
      </c>
      <c r="F146" s="18" t="s">
        <v>42</v>
      </c>
      <c r="G146" s="18" t="s">
        <v>43</v>
      </c>
      <c r="H146" s="18">
        <v>99999</v>
      </c>
      <c r="I146" s="18" t="s">
        <v>30</v>
      </c>
      <c r="J146" s="18" t="s">
        <v>44</v>
      </c>
      <c r="K146" s="18" t="s">
        <v>45</v>
      </c>
      <c r="L146" s="18">
        <v>41796</v>
      </c>
      <c r="M146" s="18" t="s">
        <v>46</v>
      </c>
      <c r="N146" s="18" t="s">
        <v>47</v>
      </c>
      <c r="O146" s="18" t="s">
        <v>41</v>
      </c>
      <c r="P146" s="18" t="s">
        <v>42</v>
      </c>
      <c r="Q146" s="18" t="s">
        <v>43</v>
      </c>
      <c r="R146" s="18">
        <v>99999</v>
      </c>
      <c r="S146" s="18" t="s">
        <v>30</v>
      </c>
      <c r="T146" s="18" t="s">
        <v>48</v>
      </c>
      <c r="U146" s="18" t="s">
        <v>149</v>
      </c>
      <c r="V146" s="18" t="s">
        <v>110</v>
      </c>
      <c r="W146" s="19">
        <v>81</v>
      </c>
      <c r="X146" s="18">
        <v>98</v>
      </c>
      <c r="Y146" s="19">
        <v>7938</v>
      </c>
      <c r="Z146" s="20">
        <v>769.98599999999999</v>
      </c>
    </row>
    <row r="147" spans="1:26" x14ac:dyDescent="0.25">
      <c r="A147" s="16">
        <v>1162</v>
      </c>
      <c r="B147" s="17">
        <v>41794</v>
      </c>
      <c r="C147" s="18">
        <v>4</v>
      </c>
      <c r="D147" s="18" t="s">
        <v>40</v>
      </c>
      <c r="E147" s="18" t="s">
        <v>41</v>
      </c>
      <c r="F147" s="18" t="s">
        <v>42</v>
      </c>
      <c r="G147" s="18" t="s">
        <v>43</v>
      </c>
      <c r="H147" s="18">
        <v>99999</v>
      </c>
      <c r="I147" s="18" t="s">
        <v>30</v>
      </c>
      <c r="J147" s="18" t="s">
        <v>44</v>
      </c>
      <c r="K147" s="18" t="s">
        <v>45</v>
      </c>
      <c r="L147" s="18">
        <v>41796</v>
      </c>
      <c r="M147" s="18" t="s">
        <v>46</v>
      </c>
      <c r="N147" s="18" t="s">
        <v>47</v>
      </c>
      <c r="O147" s="18" t="s">
        <v>41</v>
      </c>
      <c r="P147" s="18" t="s">
        <v>42</v>
      </c>
      <c r="Q147" s="18" t="s">
        <v>43</v>
      </c>
      <c r="R147" s="18">
        <v>99999</v>
      </c>
      <c r="S147" s="18" t="s">
        <v>30</v>
      </c>
      <c r="T147" s="18" t="s">
        <v>48</v>
      </c>
      <c r="U147" s="18" t="s">
        <v>150</v>
      </c>
      <c r="V147" s="18" t="s">
        <v>151</v>
      </c>
      <c r="W147" s="19">
        <v>7</v>
      </c>
      <c r="X147" s="18">
        <v>61</v>
      </c>
      <c r="Y147" s="19">
        <v>427</v>
      </c>
      <c r="Z147" s="20">
        <v>42.273000000000003</v>
      </c>
    </row>
    <row r="148" spans="1:26" x14ac:dyDescent="0.25">
      <c r="A148" s="16">
        <v>1164</v>
      </c>
      <c r="B148" s="17">
        <v>41798</v>
      </c>
      <c r="C148" s="18">
        <v>8</v>
      </c>
      <c r="D148" s="18" t="s">
        <v>56</v>
      </c>
      <c r="E148" s="18" t="s">
        <v>57</v>
      </c>
      <c r="F148" s="18" t="s">
        <v>58</v>
      </c>
      <c r="G148" s="18" t="s">
        <v>59</v>
      </c>
      <c r="H148" s="18">
        <v>99999</v>
      </c>
      <c r="I148" s="18" t="s">
        <v>30</v>
      </c>
      <c r="J148" s="18" t="s">
        <v>60</v>
      </c>
      <c r="K148" s="18" t="s">
        <v>61</v>
      </c>
      <c r="L148" s="17">
        <v>41800</v>
      </c>
      <c r="M148" s="18" t="s">
        <v>62</v>
      </c>
      <c r="N148" s="18" t="s">
        <v>63</v>
      </c>
      <c r="O148" s="18" t="s">
        <v>57</v>
      </c>
      <c r="P148" s="18" t="s">
        <v>58</v>
      </c>
      <c r="Q148" s="18" t="s">
        <v>59</v>
      </c>
      <c r="R148" s="18">
        <v>99999</v>
      </c>
      <c r="S148" s="18" t="s">
        <v>30</v>
      </c>
      <c r="T148" s="18" t="s">
        <v>48</v>
      </c>
      <c r="U148" s="18" t="s">
        <v>133</v>
      </c>
      <c r="V148" s="18" t="s">
        <v>134</v>
      </c>
      <c r="W148" s="19">
        <v>34.799999999999997</v>
      </c>
      <c r="X148" s="18">
        <v>30</v>
      </c>
      <c r="Y148" s="19">
        <v>1044</v>
      </c>
      <c r="Z148" s="20">
        <v>109.62</v>
      </c>
    </row>
    <row r="149" spans="1:26" x14ac:dyDescent="0.25">
      <c r="A149" s="16">
        <v>1167</v>
      </c>
      <c r="B149" s="17">
        <v>41793</v>
      </c>
      <c r="C149" s="18">
        <v>3</v>
      </c>
      <c r="D149" s="18" t="s">
        <v>74</v>
      </c>
      <c r="E149" s="18" t="s">
        <v>75</v>
      </c>
      <c r="F149" s="18" t="s">
        <v>76</v>
      </c>
      <c r="G149" s="18" t="s">
        <v>77</v>
      </c>
      <c r="H149" s="18">
        <v>99999</v>
      </c>
      <c r="I149" s="18" t="s">
        <v>30</v>
      </c>
      <c r="J149" s="18" t="s">
        <v>31</v>
      </c>
      <c r="K149" s="18" t="s">
        <v>32</v>
      </c>
      <c r="L149" s="17">
        <v>41795</v>
      </c>
      <c r="M149" s="18" t="s">
        <v>33</v>
      </c>
      <c r="N149" s="18" t="s">
        <v>78</v>
      </c>
      <c r="O149" s="18" t="s">
        <v>75</v>
      </c>
      <c r="P149" s="18" t="s">
        <v>76</v>
      </c>
      <c r="Q149" s="18" t="s">
        <v>77</v>
      </c>
      <c r="R149" s="18">
        <v>99999</v>
      </c>
      <c r="S149" s="18" t="s">
        <v>30</v>
      </c>
      <c r="T149" s="18" t="s">
        <v>79</v>
      </c>
      <c r="U149" s="18" t="s">
        <v>135</v>
      </c>
      <c r="V149" s="18" t="s">
        <v>112</v>
      </c>
      <c r="W149" s="19">
        <v>10</v>
      </c>
      <c r="X149" s="18">
        <v>24</v>
      </c>
      <c r="Y149" s="19">
        <v>240</v>
      </c>
      <c r="Z149" s="20">
        <v>25.200000000000003</v>
      </c>
    </row>
    <row r="150" spans="1:26" x14ac:dyDescent="0.25">
      <c r="A150" s="16">
        <v>1168</v>
      </c>
      <c r="B150" s="17">
        <v>41793</v>
      </c>
      <c r="C150" s="18">
        <v>3</v>
      </c>
      <c r="D150" s="18" t="s">
        <v>74</v>
      </c>
      <c r="E150" s="18" t="s">
        <v>75</v>
      </c>
      <c r="F150" s="18" t="s">
        <v>76</v>
      </c>
      <c r="G150" s="18" t="s">
        <v>77</v>
      </c>
      <c r="H150" s="18">
        <v>99999</v>
      </c>
      <c r="I150" s="18" t="s">
        <v>30</v>
      </c>
      <c r="J150" s="18" t="s">
        <v>31</v>
      </c>
      <c r="K150" s="18" t="s">
        <v>32</v>
      </c>
      <c r="L150" s="17">
        <v>41795</v>
      </c>
      <c r="M150" s="18" t="s">
        <v>33</v>
      </c>
      <c r="N150" s="18" t="s">
        <v>78</v>
      </c>
      <c r="O150" s="18" t="s">
        <v>75</v>
      </c>
      <c r="P150" s="18" t="s">
        <v>76</v>
      </c>
      <c r="Q150" s="18" t="s">
        <v>77</v>
      </c>
      <c r="R150" s="18">
        <v>99999</v>
      </c>
      <c r="S150" s="18" t="s">
        <v>30</v>
      </c>
      <c r="T150" s="18" t="s">
        <v>79</v>
      </c>
      <c r="U150" s="18" t="s">
        <v>88</v>
      </c>
      <c r="V150" s="18" t="s">
        <v>89</v>
      </c>
      <c r="W150" s="19">
        <v>40</v>
      </c>
      <c r="X150" s="18">
        <v>28</v>
      </c>
      <c r="Y150" s="19">
        <v>1120</v>
      </c>
      <c r="Z150" s="20">
        <v>109.75999999999999</v>
      </c>
    </row>
    <row r="151" spans="1:26" x14ac:dyDescent="0.25">
      <c r="A151" s="16">
        <v>1172</v>
      </c>
      <c r="B151" s="17">
        <v>41800</v>
      </c>
      <c r="C151" s="18">
        <v>10</v>
      </c>
      <c r="D151" s="18" t="s">
        <v>97</v>
      </c>
      <c r="E151" s="18" t="s">
        <v>98</v>
      </c>
      <c r="F151" s="18" t="s">
        <v>99</v>
      </c>
      <c r="G151" s="18" t="s">
        <v>100</v>
      </c>
      <c r="H151" s="18">
        <v>99999</v>
      </c>
      <c r="I151" s="18" t="s">
        <v>30</v>
      </c>
      <c r="J151" s="18" t="s">
        <v>101</v>
      </c>
      <c r="K151" s="18" t="s">
        <v>45</v>
      </c>
      <c r="L151" s="17">
        <v>41802</v>
      </c>
      <c r="M151" s="18" t="s">
        <v>33</v>
      </c>
      <c r="N151" s="18" t="s">
        <v>102</v>
      </c>
      <c r="O151" s="18" t="s">
        <v>98</v>
      </c>
      <c r="P151" s="18" t="s">
        <v>99</v>
      </c>
      <c r="Q151" s="18" t="s">
        <v>100</v>
      </c>
      <c r="R151" s="18">
        <v>99999</v>
      </c>
      <c r="S151" s="18" t="s">
        <v>30</v>
      </c>
      <c r="T151" s="18" t="s">
        <v>48</v>
      </c>
      <c r="U151" s="18" t="s">
        <v>136</v>
      </c>
      <c r="V151" s="18" t="s">
        <v>39</v>
      </c>
      <c r="W151" s="19">
        <v>10</v>
      </c>
      <c r="X151" s="18">
        <v>74</v>
      </c>
      <c r="Y151" s="19">
        <v>740</v>
      </c>
      <c r="Z151" s="20">
        <v>71.78</v>
      </c>
    </row>
    <row r="152" spans="1:26" x14ac:dyDescent="0.25">
      <c r="A152" s="16">
        <v>1174</v>
      </c>
      <c r="B152" s="17">
        <v>41800</v>
      </c>
      <c r="C152" s="18">
        <v>10</v>
      </c>
      <c r="D152" s="18" t="s">
        <v>97</v>
      </c>
      <c r="E152" s="18" t="s">
        <v>98</v>
      </c>
      <c r="F152" s="18" t="s">
        <v>99</v>
      </c>
      <c r="G152" s="18" t="s">
        <v>100</v>
      </c>
      <c r="H152" s="18">
        <v>99999</v>
      </c>
      <c r="I152" s="18" t="s">
        <v>30</v>
      </c>
      <c r="J152" s="18" t="s">
        <v>101</v>
      </c>
      <c r="K152" s="18" t="s">
        <v>45</v>
      </c>
      <c r="L152" s="17"/>
      <c r="M152" s="18" t="s">
        <v>46</v>
      </c>
      <c r="N152" s="18" t="s">
        <v>102</v>
      </c>
      <c r="O152" s="18" t="s">
        <v>98</v>
      </c>
      <c r="P152" s="18" t="s">
        <v>99</v>
      </c>
      <c r="Q152" s="18" t="s">
        <v>100</v>
      </c>
      <c r="R152" s="18">
        <v>99999</v>
      </c>
      <c r="S152" s="18" t="s">
        <v>30</v>
      </c>
      <c r="T152" s="18"/>
      <c r="U152" s="18" t="s">
        <v>38</v>
      </c>
      <c r="V152" s="18" t="s">
        <v>39</v>
      </c>
      <c r="W152" s="19">
        <v>3.5</v>
      </c>
      <c r="X152" s="18">
        <v>90</v>
      </c>
      <c r="Y152" s="19">
        <v>315</v>
      </c>
      <c r="Z152" s="20">
        <v>30.24</v>
      </c>
    </row>
    <row r="153" spans="1:26" x14ac:dyDescent="0.25">
      <c r="A153" s="16">
        <v>1175</v>
      </c>
      <c r="B153" s="17">
        <v>41801</v>
      </c>
      <c r="C153" s="18">
        <v>11</v>
      </c>
      <c r="D153" s="18" t="s">
        <v>113</v>
      </c>
      <c r="E153" s="18" t="s">
        <v>114</v>
      </c>
      <c r="F153" s="18" t="s">
        <v>115</v>
      </c>
      <c r="G153" s="18" t="s">
        <v>116</v>
      </c>
      <c r="H153" s="18">
        <v>99999</v>
      </c>
      <c r="I153" s="18" t="s">
        <v>30</v>
      </c>
      <c r="J153" s="18" t="s">
        <v>94</v>
      </c>
      <c r="K153" s="18" t="s">
        <v>95</v>
      </c>
      <c r="L153" s="17"/>
      <c r="M153" s="18" t="s">
        <v>62</v>
      </c>
      <c r="N153" s="18" t="s">
        <v>117</v>
      </c>
      <c r="O153" s="18" t="s">
        <v>114</v>
      </c>
      <c r="P153" s="18" t="s">
        <v>115</v>
      </c>
      <c r="Q153" s="18" t="s">
        <v>116</v>
      </c>
      <c r="R153" s="18">
        <v>99999</v>
      </c>
      <c r="S153" s="18" t="s">
        <v>30</v>
      </c>
      <c r="T153" s="18"/>
      <c r="U153" s="18" t="s">
        <v>88</v>
      </c>
      <c r="V153" s="18" t="s">
        <v>89</v>
      </c>
      <c r="W153" s="19">
        <v>40</v>
      </c>
      <c r="X153" s="18">
        <v>27</v>
      </c>
      <c r="Y153" s="19">
        <v>1080</v>
      </c>
      <c r="Z153" s="20">
        <v>111.24000000000001</v>
      </c>
    </row>
    <row r="154" spans="1:26" x14ac:dyDescent="0.25">
      <c r="A154" s="16">
        <v>1176</v>
      </c>
      <c r="B154" s="17">
        <v>41791</v>
      </c>
      <c r="C154" s="18">
        <v>1</v>
      </c>
      <c r="D154" s="18" t="s">
        <v>118</v>
      </c>
      <c r="E154" s="18" t="s">
        <v>119</v>
      </c>
      <c r="F154" s="18" t="s">
        <v>120</v>
      </c>
      <c r="G154" s="18" t="s">
        <v>121</v>
      </c>
      <c r="H154" s="18">
        <v>99999</v>
      </c>
      <c r="I154" s="18" t="s">
        <v>30</v>
      </c>
      <c r="J154" s="18" t="s">
        <v>60</v>
      </c>
      <c r="K154" s="18" t="s">
        <v>61</v>
      </c>
      <c r="L154" s="17"/>
      <c r="M154" s="18" t="s">
        <v>62</v>
      </c>
      <c r="N154" s="18" t="s">
        <v>122</v>
      </c>
      <c r="O154" s="18" t="s">
        <v>119</v>
      </c>
      <c r="P154" s="18" t="s">
        <v>120</v>
      </c>
      <c r="Q154" s="18" t="s">
        <v>121</v>
      </c>
      <c r="R154" s="18">
        <v>99999</v>
      </c>
      <c r="S154" s="18" t="s">
        <v>30</v>
      </c>
      <c r="T154" s="18"/>
      <c r="U154" s="18" t="s">
        <v>123</v>
      </c>
      <c r="V154" s="18" t="s">
        <v>124</v>
      </c>
      <c r="W154" s="19">
        <v>18.399999999999999</v>
      </c>
      <c r="X154" s="18">
        <v>71</v>
      </c>
      <c r="Y154" s="19">
        <v>1306.3999999999999</v>
      </c>
      <c r="Z154" s="20">
        <v>137.172</v>
      </c>
    </row>
    <row r="155" spans="1:26" x14ac:dyDescent="0.25">
      <c r="A155" s="16">
        <v>1177</v>
      </c>
      <c r="B155" s="17">
        <v>41818</v>
      </c>
      <c r="C155" s="18">
        <v>28</v>
      </c>
      <c r="D155" s="18" t="s">
        <v>90</v>
      </c>
      <c r="E155" s="18" t="s">
        <v>91</v>
      </c>
      <c r="F155" s="18" t="s">
        <v>92</v>
      </c>
      <c r="G155" s="18" t="s">
        <v>93</v>
      </c>
      <c r="H155" s="18">
        <v>99999</v>
      </c>
      <c r="I155" s="18" t="s">
        <v>30</v>
      </c>
      <c r="J155" s="18" t="s">
        <v>94</v>
      </c>
      <c r="K155" s="18" t="s">
        <v>95</v>
      </c>
      <c r="L155" s="17">
        <v>41820</v>
      </c>
      <c r="M155" s="18" t="s">
        <v>62</v>
      </c>
      <c r="N155" s="18" t="s">
        <v>96</v>
      </c>
      <c r="O155" s="18" t="s">
        <v>91</v>
      </c>
      <c r="P155" s="18" t="s">
        <v>92</v>
      </c>
      <c r="Q155" s="18" t="s">
        <v>93</v>
      </c>
      <c r="R155" s="18">
        <v>99999</v>
      </c>
      <c r="S155" s="18" t="s">
        <v>30</v>
      </c>
      <c r="T155" s="18" t="s">
        <v>48</v>
      </c>
      <c r="U155" s="18" t="s">
        <v>55</v>
      </c>
      <c r="V155" s="18" t="s">
        <v>37</v>
      </c>
      <c r="W155" s="19">
        <v>46</v>
      </c>
      <c r="X155" s="18">
        <v>74</v>
      </c>
      <c r="Y155" s="19">
        <v>3404</v>
      </c>
      <c r="Z155" s="20">
        <v>340.40000000000003</v>
      </c>
    </row>
    <row r="156" spans="1:26" x14ac:dyDescent="0.25">
      <c r="A156" s="16">
        <v>1178</v>
      </c>
      <c r="B156" s="17">
        <v>41799</v>
      </c>
      <c r="C156" s="18">
        <v>9</v>
      </c>
      <c r="D156" s="18" t="s">
        <v>125</v>
      </c>
      <c r="E156" s="18" t="s">
        <v>126</v>
      </c>
      <c r="F156" s="18" t="s">
        <v>127</v>
      </c>
      <c r="G156" s="18" t="s">
        <v>128</v>
      </c>
      <c r="H156" s="18">
        <v>99999</v>
      </c>
      <c r="I156" s="18" t="s">
        <v>30</v>
      </c>
      <c r="J156" s="18" t="s">
        <v>129</v>
      </c>
      <c r="K156" s="18" t="s">
        <v>32</v>
      </c>
      <c r="L156" s="17">
        <v>41801</v>
      </c>
      <c r="M156" s="18" t="s">
        <v>46</v>
      </c>
      <c r="N156" s="18" t="s">
        <v>130</v>
      </c>
      <c r="O156" s="18" t="s">
        <v>126</v>
      </c>
      <c r="P156" s="18" t="s">
        <v>127</v>
      </c>
      <c r="Q156" s="18" t="s">
        <v>128</v>
      </c>
      <c r="R156" s="18">
        <v>99999</v>
      </c>
      <c r="S156" s="18" t="s">
        <v>30</v>
      </c>
      <c r="T156" s="18" t="s">
        <v>35</v>
      </c>
      <c r="U156" s="18" t="s">
        <v>80</v>
      </c>
      <c r="V156" s="18" t="s">
        <v>81</v>
      </c>
      <c r="W156" s="19">
        <v>9.65</v>
      </c>
      <c r="X156" s="18">
        <v>76</v>
      </c>
      <c r="Y156" s="19">
        <v>733.4</v>
      </c>
      <c r="Z156" s="20">
        <v>72.6066</v>
      </c>
    </row>
    <row r="157" spans="1:26" x14ac:dyDescent="0.25">
      <c r="A157" s="16">
        <v>1179</v>
      </c>
      <c r="B157" s="17">
        <v>41796</v>
      </c>
      <c r="C157" s="18">
        <v>6</v>
      </c>
      <c r="D157" s="18" t="s">
        <v>82</v>
      </c>
      <c r="E157" s="18" t="s">
        <v>83</v>
      </c>
      <c r="F157" s="18" t="s">
        <v>84</v>
      </c>
      <c r="G157" s="18" t="s">
        <v>85</v>
      </c>
      <c r="H157" s="18">
        <v>99999</v>
      </c>
      <c r="I157" s="18" t="s">
        <v>30</v>
      </c>
      <c r="J157" s="18" t="s">
        <v>86</v>
      </c>
      <c r="K157" s="18" t="s">
        <v>61</v>
      </c>
      <c r="L157" s="17">
        <v>41798</v>
      </c>
      <c r="M157" s="18" t="s">
        <v>33</v>
      </c>
      <c r="N157" s="18" t="s">
        <v>87</v>
      </c>
      <c r="O157" s="18" t="s">
        <v>83</v>
      </c>
      <c r="P157" s="18" t="s">
        <v>84</v>
      </c>
      <c r="Q157" s="18" t="s">
        <v>85</v>
      </c>
      <c r="R157" s="18">
        <v>99999</v>
      </c>
      <c r="S157" s="18" t="s">
        <v>30</v>
      </c>
      <c r="T157" s="18" t="s">
        <v>48</v>
      </c>
      <c r="U157" s="18" t="s">
        <v>72</v>
      </c>
      <c r="V157" s="18" t="s">
        <v>73</v>
      </c>
      <c r="W157" s="19">
        <v>12.75</v>
      </c>
      <c r="X157" s="18">
        <v>96</v>
      </c>
      <c r="Y157" s="19">
        <v>1224</v>
      </c>
      <c r="Z157" s="20">
        <v>123.62400000000001</v>
      </c>
    </row>
    <row r="158" spans="1:26" x14ac:dyDescent="0.25">
      <c r="A158" s="16">
        <v>1180</v>
      </c>
      <c r="B158" s="17">
        <v>41798</v>
      </c>
      <c r="C158" s="18">
        <v>8</v>
      </c>
      <c r="D158" s="18" t="s">
        <v>56</v>
      </c>
      <c r="E158" s="18" t="s">
        <v>57</v>
      </c>
      <c r="F158" s="18" t="s">
        <v>58</v>
      </c>
      <c r="G158" s="18" t="s">
        <v>59</v>
      </c>
      <c r="H158" s="18">
        <v>99999</v>
      </c>
      <c r="I158" s="18" t="s">
        <v>30</v>
      </c>
      <c r="J158" s="18" t="s">
        <v>60</v>
      </c>
      <c r="K158" s="18" t="s">
        <v>61</v>
      </c>
      <c r="L158" s="17">
        <v>41800</v>
      </c>
      <c r="M158" s="18" t="s">
        <v>33</v>
      </c>
      <c r="N158" s="18" t="s">
        <v>63</v>
      </c>
      <c r="O158" s="18" t="s">
        <v>57</v>
      </c>
      <c r="P158" s="18" t="s">
        <v>58</v>
      </c>
      <c r="Q158" s="18" t="s">
        <v>59</v>
      </c>
      <c r="R158" s="18">
        <v>99999</v>
      </c>
      <c r="S158" s="18" t="s">
        <v>30</v>
      </c>
      <c r="T158" s="18" t="s">
        <v>35</v>
      </c>
      <c r="U158" s="18" t="s">
        <v>72</v>
      </c>
      <c r="V158" s="18" t="s">
        <v>73</v>
      </c>
      <c r="W158" s="19">
        <v>12.75</v>
      </c>
      <c r="X158" s="18">
        <v>92</v>
      </c>
      <c r="Y158" s="19">
        <v>1173</v>
      </c>
      <c r="Z158" s="20">
        <v>116.12700000000001</v>
      </c>
    </row>
    <row r="159" spans="1:26" x14ac:dyDescent="0.25">
      <c r="A159" s="16">
        <v>1181</v>
      </c>
      <c r="B159" s="17">
        <v>41815</v>
      </c>
      <c r="C159" s="18">
        <v>25</v>
      </c>
      <c r="D159" s="18" t="s">
        <v>137</v>
      </c>
      <c r="E159" s="18" t="s">
        <v>138</v>
      </c>
      <c r="F159" s="18" t="s">
        <v>99</v>
      </c>
      <c r="G159" s="18" t="s">
        <v>100</v>
      </c>
      <c r="H159" s="18">
        <v>99999</v>
      </c>
      <c r="I159" s="18" t="s">
        <v>30</v>
      </c>
      <c r="J159" s="18" t="s">
        <v>101</v>
      </c>
      <c r="K159" s="18" t="s">
        <v>45</v>
      </c>
      <c r="L159" s="17">
        <v>41817</v>
      </c>
      <c r="M159" s="18" t="s">
        <v>46</v>
      </c>
      <c r="N159" s="18" t="s">
        <v>139</v>
      </c>
      <c r="O159" s="18" t="s">
        <v>138</v>
      </c>
      <c r="P159" s="18" t="s">
        <v>99</v>
      </c>
      <c r="Q159" s="18" t="s">
        <v>100</v>
      </c>
      <c r="R159" s="18">
        <v>99999</v>
      </c>
      <c r="S159" s="18" t="s">
        <v>30</v>
      </c>
      <c r="T159" s="18" t="s">
        <v>79</v>
      </c>
      <c r="U159" s="18" t="s">
        <v>111</v>
      </c>
      <c r="V159" s="18" t="s">
        <v>112</v>
      </c>
      <c r="W159" s="19">
        <v>22</v>
      </c>
      <c r="X159" s="18">
        <v>93</v>
      </c>
      <c r="Y159" s="19">
        <v>2046</v>
      </c>
      <c r="Z159" s="20">
        <v>200.50800000000001</v>
      </c>
    </row>
    <row r="160" spans="1:26" x14ac:dyDescent="0.25">
      <c r="A160" s="16">
        <v>1182</v>
      </c>
      <c r="B160" s="17">
        <v>41816</v>
      </c>
      <c r="C160" s="18">
        <v>26</v>
      </c>
      <c r="D160" s="18" t="s">
        <v>140</v>
      </c>
      <c r="E160" s="18" t="s">
        <v>141</v>
      </c>
      <c r="F160" s="18" t="s">
        <v>115</v>
      </c>
      <c r="G160" s="18" t="s">
        <v>116</v>
      </c>
      <c r="H160" s="18">
        <v>99999</v>
      </c>
      <c r="I160" s="18" t="s">
        <v>30</v>
      </c>
      <c r="J160" s="18" t="s">
        <v>94</v>
      </c>
      <c r="K160" s="18" t="s">
        <v>95</v>
      </c>
      <c r="L160" s="17">
        <v>41818</v>
      </c>
      <c r="M160" s="18" t="s">
        <v>62</v>
      </c>
      <c r="N160" s="18" t="s">
        <v>142</v>
      </c>
      <c r="O160" s="18" t="s">
        <v>141</v>
      </c>
      <c r="P160" s="18" t="s">
        <v>115</v>
      </c>
      <c r="Q160" s="18" t="s">
        <v>116</v>
      </c>
      <c r="R160" s="18">
        <v>99999</v>
      </c>
      <c r="S160" s="18" t="s">
        <v>30</v>
      </c>
      <c r="T160" s="18" t="s">
        <v>48</v>
      </c>
      <c r="U160" s="18" t="s">
        <v>109</v>
      </c>
      <c r="V160" s="18" t="s">
        <v>110</v>
      </c>
      <c r="W160" s="19">
        <v>25</v>
      </c>
      <c r="X160" s="18">
        <v>18</v>
      </c>
      <c r="Y160" s="19">
        <v>450</v>
      </c>
      <c r="Z160" s="20">
        <v>42.75</v>
      </c>
    </row>
    <row r="161" spans="1:26" x14ac:dyDescent="0.25">
      <c r="A161" s="16">
        <v>1183</v>
      </c>
      <c r="B161" s="17">
        <v>41819</v>
      </c>
      <c r="C161" s="18">
        <v>29</v>
      </c>
      <c r="D161" s="18" t="s">
        <v>66</v>
      </c>
      <c r="E161" s="18" t="s">
        <v>67</v>
      </c>
      <c r="F161" s="18" t="s">
        <v>68</v>
      </c>
      <c r="G161" s="18" t="s">
        <v>69</v>
      </c>
      <c r="H161" s="18">
        <v>99999</v>
      </c>
      <c r="I161" s="18" t="s">
        <v>30</v>
      </c>
      <c r="J161" s="18" t="s">
        <v>70</v>
      </c>
      <c r="K161" s="18" t="s">
        <v>32</v>
      </c>
      <c r="L161" s="17">
        <v>41821</v>
      </c>
      <c r="M161" s="18" t="s">
        <v>33</v>
      </c>
      <c r="N161" s="18" t="s">
        <v>71</v>
      </c>
      <c r="O161" s="18" t="s">
        <v>67</v>
      </c>
      <c r="P161" s="18" t="s">
        <v>68</v>
      </c>
      <c r="Q161" s="18" t="s">
        <v>69</v>
      </c>
      <c r="R161" s="18">
        <v>99999</v>
      </c>
      <c r="S161" s="18" t="s">
        <v>30</v>
      </c>
      <c r="T161" s="18" t="s">
        <v>35</v>
      </c>
      <c r="U161" s="18" t="s">
        <v>143</v>
      </c>
      <c r="V161" s="18" t="s">
        <v>144</v>
      </c>
      <c r="W161" s="19">
        <v>39</v>
      </c>
      <c r="X161" s="18">
        <v>98</v>
      </c>
      <c r="Y161" s="19">
        <v>3822</v>
      </c>
      <c r="Z161" s="20">
        <v>397.48800000000006</v>
      </c>
    </row>
    <row r="162" spans="1:26" x14ac:dyDescent="0.25">
      <c r="A162" s="16">
        <v>1184</v>
      </c>
      <c r="B162" s="17">
        <v>41796</v>
      </c>
      <c r="C162" s="18">
        <v>6</v>
      </c>
      <c r="D162" s="18" t="s">
        <v>82</v>
      </c>
      <c r="E162" s="18" t="s">
        <v>83</v>
      </c>
      <c r="F162" s="18" t="s">
        <v>84</v>
      </c>
      <c r="G162" s="18" t="s">
        <v>85</v>
      </c>
      <c r="H162" s="18">
        <v>99999</v>
      </c>
      <c r="I162" s="18" t="s">
        <v>30</v>
      </c>
      <c r="J162" s="18" t="s">
        <v>86</v>
      </c>
      <c r="K162" s="18" t="s">
        <v>61</v>
      </c>
      <c r="L162" s="17">
        <v>41798</v>
      </c>
      <c r="M162" s="18" t="s">
        <v>62</v>
      </c>
      <c r="N162" s="18" t="s">
        <v>87</v>
      </c>
      <c r="O162" s="18" t="s">
        <v>83</v>
      </c>
      <c r="P162" s="18" t="s">
        <v>84</v>
      </c>
      <c r="Q162" s="18" t="s">
        <v>85</v>
      </c>
      <c r="R162" s="18">
        <v>99999</v>
      </c>
      <c r="S162" s="18" t="s">
        <v>30</v>
      </c>
      <c r="T162" s="18" t="s">
        <v>35</v>
      </c>
      <c r="U162" s="18" t="s">
        <v>49</v>
      </c>
      <c r="V162" s="18" t="s">
        <v>39</v>
      </c>
      <c r="W162" s="19">
        <v>30</v>
      </c>
      <c r="X162" s="18">
        <v>46</v>
      </c>
      <c r="Y162" s="19">
        <v>1380</v>
      </c>
      <c r="Z162" s="20">
        <v>135.24</v>
      </c>
    </row>
    <row r="163" spans="1:26" x14ac:dyDescent="0.25">
      <c r="A163" s="16">
        <v>1185</v>
      </c>
      <c r="B163" s="17">
        <v>41796</v>
      </c>
      <c r="C163" s="18">
        <v>6</v>
      </c>
      <c r="D163" s="18" t="s">
        <v>82</v>
      </c>
      <c r="E163" s="18" t="s">
        <v>83</v>
      </c>
      <c r="F163" s="18" t="s">
        <v>84</v>
      </c>
      <c r="G163" s="18" t="s">
        <v>85</v>
      </c>
      <c r="H163" s="18">
        <v>99999</v>
      </c>
      <c r="I163" s="18" t="s">
        <v>30</v>
      </c>
      <c r="J163" s="18" t="s">
        <v>86</v>
      </c>
      <c r="K163" s="18" t="s">
        <v>61</v>
      </c>
      <c r="L163" s="17">
        <v>41798</v>
      </c>
      <c r="M163" s="18" t="s">
        <v>62</v>
      </c>
      <c r="N163" s="18" t="s">
        <v>87</v>
      </c>
      <c r="O163" s="18" t="s">
        <v>83</v>
      </c>
      <c r="P163" s="18" t="s">
        <v>84</v>
      </c>
      <c r="Q163" s="18" t="s">
        <v>85</v>
      </c>
      <c r="R163" s="18">
        <v>99999</v>
      </c>
      <c r="S163" s="18" t="s">
        <v>30</v>
      </c>
      <c r="T163" s="18" t="s">
        <v>35</v>
      </c>
      <c r="U163" s="18" t="s">
        <v>50</v>
      </c>
      <c r="V163" s="18" t="s">
        <v>39</v>
      </c>
      <c r="W163" s="19">
        <v>53</v>
      </c>
      <c r="X163" s="18">
        <v>14</v>
      </c>
      <c r="Y163" s="19">
        <v>742</v>
      </c>
      <c r="Z163" s="20">
        <v>74.2</v>
      </c>
    </row>
    <row r="164" spans="1:26" x14ac:dyDescent="0.25">
      <c r="A164" s="16">
        <v>1186</v>
      </c>
      <c r="B164" s="17">
        <v>41794</v>
      </c>
      <c r="C164" s="18">
        <v>4</v>
      </c>
      <c r="D164" s="18" t="s">
        <v>40</v>
      </c>
      <c r="E164" s="18" t="s">
        <v>41</v>
      </c>
      <c r="F164" s="18" t="s">
        <v>42</v>
      </c>
      <c r="G164" s="18" t="s">
        <v>43</v>
      </c>
      <c r="H164" s="18">
        <v>99999</v>
      </c>
      <c r="I164" s="18" t="s">
        <v>30</v>
      </c>
      <c r="J164" s="18" t="s">
        <v>44</v>
      </c>
      <c r="K164" s="18" t="s">
        <v>45</v>
      </c>
      <c r="L164" s="17"/>
      <c r="M164" s="18"/>
      <c r="N164" s="18" t="s">
        <v>47</v>
      </c>
      <c r="O164" s="18" t="s">
        <v>41</v>
      </c>
      <c r="P164" s="18" t="s">
        <v>42</v>
      </c>
      <c r="Q164" s="18" t="s">
        <v>43</v>
      </c>
      <c r="R164" s="18">
        <v>99999</v>
      </c>
      <c r="S164" s="18" t="s">
        <v>30</v>
      </c>
      <c r="T164" s="18"/>
      <c r="U164" s="18" t="s">
        <v>145</v>
      </c>
      <c r="V164" s="18" t="s">
        <v>132</v>
      </c>
      <c r="W164" s="19">
        <v>38</v>
      </c>
      <c r="X164" s="18">
        <v>85</v>
      </c>
      <c r="Y164" s="19">
        <v>3230</v>
      </c>
      <c r="Z164" s="20">
        <v>319.77</v>
      </c>
    </row>
    <row r="165" spans="1:26" x14ac:dyDescent="0.25">
      <c r="A165" s="16">
        <v>1187</v>
      </c>
      <c r="B165" s="17">
        <v>41793</v>
      </c>
      <c r="C165" s="18">
        <v>3</v>
      </c>
      <c r="D165" s="18" t="s">
        <v>74</v>
      </c>
      <c r="E165" s="18" t="s">
        <v>75</v>
      </c>
      <c r="F165" s="18" t="s">
        <v>76</v>
      </c>
      <c r="G165" s="18" t="s">
        <v>77</v>
      </c>
      <c r="H165" s="18">
        <v>99999</v>
      </c>
      <c r="I165" s="18" t="s">
        <v>30</v>
      </c>
      <c r="J165" s="18" t="s">
        <v>31</v>
      </c>
      <c r="K165" s="18" t="s">
        <v>32</v>
      </c>
      <c r="L165" s="17"/>
      <c r="M165" s="18"/>
      <c r="N165" s="18" t="s">
        <v>78</v>
      </c>
      <c r="O165" s="18" t="s">
        <v>75</v>
      </c>
      <c r="P165" s="18" t="s">
        <v>76</v>
      </c>
      <c r="Q165" s="18" t="s">
        <v>77</v>
      </c>
      <c r="R165" s="18">
        <v>99999</v>
      </c>
      <c r="S165" s="18" t="s">
        <v>30</v>
      </c>
      <c r="T165" s="18"/>
      <c r="U165" s="18" t="s">
        <v>103</v>
      </c>
      <c r="V165" s="18" t="s">
        <v>37</v>
      </c>
      <c r="W165" s="19">
        <v>2.99</v>
      </c>
      <c r="X165" s="18">
        <v>88</v>
      </c>
      <c r="Y165" s="19">
        <v>263.12</v>
      </c>
      <c r="Z165" s="20">
        <v>25.522639999999999</v>
      </c>
    </row>
    <row r="166" spans="1:26" x14ac:dyDescent="0.25">
      <c r="A166" s="16">
        <v>1188</v>
      </c>
      <c r="B166" s="17">
        <v>41821</v>
      </c>
      <c r="C166" s="18">
        <v>1</v>
      </c>
      <c r="D166" s="18" t="s">
        <v>118</v>
      </c>
      <c r="E166" s="18" t="s">
        <v>119</v>
      </c>
      <c r="F166" s="18" t="s">
        <v>120</v>
      </c>
      <c r="G166" s="18" t="s">
        <v>121</v>
      </c>
      <c r="H166" s="18">
        <v>99999</v>
      </c>
      <c r="I166" s="18" t="s">
        <v>30</v>
      </c>
      <c r="J166" s="18" t="s">
        <v>60</v>
      </c>
      <c r="K166" s="18" t="s">
        <v>61</v>
      </c>
      <c r="L166" s="17"/>
      <c r="M166" s="18"/>
      <c r="N166" s="18" t="s">
        <v>122</v>
      </c>
      <c r="O166" s="18" t="s">
        <v>119</v>
      </c>
      <c r="P166" s="18" t="s">
        <v>120</v>
      </c>
      <c r="Q166" s="18" t="s">
        <v>121</v>
      </c>
      <c r="R166" s="18">
        <v>99999</v>
      </c>
      <c r="S166" s="18" t="s">
        <v>30</v>
      </c>
      <c r="T166" s="18"/>
      <c r="U166" s="18" t="s">
        <v>103</v>
      </c>
      <c r="V166" s="18" t="s">
        <v>37</v>
      </c>
      <c r="W166" s="19">
        <v>2.99</v>
      </c>
      <c r="X166" s="18">
        <v>81</v>
      </c>
      <c r="Y166" s="19">
        <v>242.19000000000003</v>
      </c>
      <c r="Z166" s="20">
        <v>23.976810000000004</v>
      </c>
    </row>
    <row r="167" spans="1:26" x14ac:dyDescent="0.25">
      <c r="A167" s="16">
        <v>1189</v>
      </c>
      <c r="B167" s="17">
        <v>41848</v>
      </c>
      <c r="C167" s="18">
        <v>28</v>
      </c>
      <c r="D167" s="18" t="s">
        <v>90</v>
      </c>
      <c r="E167" s="18" t="s">
        <v>91</v>
      </c>
      <c r="F167" s="18" t="s">
        <v>92</v>
      </c>
      <c r="G167" s="18" t="s">
        <v>93</v>
      </c>
      <c r="H167" s="18">
        <v>99999</v>
      </c>
      <c r="I167" s="18" t="s">
        <v>30</v>
      </c>
      <c r="J167" s="18" t="s">
        <v>94</v>
      </c>
      <c r="K167" s="18" t="s">
        <v>95</v>
      </c>
      <c r="L167" s="17">
        <v>41850</v>
      </c>
      <c r="M167" s="18" t="s">
        <v>62</v>
      </c>
      <c r="N167" s="18" t="s">
        <v>96</v>
      </c>
      <c r="O167" s="18" t="s">
        <v>91</v>
      </c>
      <c r="P167" s="18" t="s">
        <v>92</v>
      </c>
      <c r="Q167" s="18" t="s">
        <v>93</v>
      </c>
      <c r="R167" s="18">
        <v>99999</v>
      </c>
      <c r="S167" s="18" t="s">
        <v>30</v>
      </c>
      <c r="T167" s="18" t="s">
        <v>48</v>
      </c>
      <c r="U167" s="18" t="s">
        <v>80</v>
      </c>
      <c r="V167" s="18" t="s">
        <v>81</v>
      </c>
      <c r="W167" s="19">
        <v>9.65</v>
      </c>
      <c r="X167" s="18">
        <v>33</v>
      </c>
      <c r="Y167" s="19">
        <v>318.45</v>
      </c>
      <c r="Z167" s="20">
        <v>30.252749999999999</v>
      </c>
    </row>
    <row r="168" spans="1:26" x14ac:dyDescent="0.25">
      <c r="A168" s="16">
        <v>1190</v>
      </c>
      <c r="B168" s="17">
        <v>41848</v>
      </c>
      <c r="C168" s="18">
        <v>28</v>
      </c>
      <c r="D168" s="18" t="s">
        <v>90</v>
      </c>
      <c r="E168" s="18" t="s">
        <v>91</v>
      </c>
      <c r="F168" s="18" t="s">
        <v>92</v>
      </c>
      <c r="G168" s="18" t="s">
        <v>93</v>
      </c>
      <c r="H168" s="18">
        <v>99999</v>
      </c>
      <c r="I168" s="18" t="s">
        <v>30</v>
      </c>
      <c r="J168" s="18" t="s">
        <v>94</v>
      </c>
      <c r="K168" s="18" t="s">
        <v>95</v>
      </c>
      <c r="L168" s="17">
        <v>41850</v>
      </c>
      <c r="M168" s="18" t="s">
        <v>62</v>
      </c>
      <c r="N168" s="18" t="s">
        <v>96</v>
      </c>
      <c r="O168" s="18" t="s">
        <v>91</v>
      </c>
      <c r="P168" s="18" t="s">
        <v>92</v>
      </c>
      <c r="Q168" s="18" t="s">
        <v>93</v>
      </c>
      <c r="R168" s="18">
        <v>99999</v>
      </c>
      <c r="S168" s="18" t="s">
        <v>30</v>
      </c>
      <c r="T168" s="18" t="s">
        <v>48</v>
      </c>
      <c r="U168" s="18" t="s">
        <v>123</v>
      </c>
      <c r="V168" s="18" t="s">
        <v>124</v>
      </c>
      <c r="W168" s="19">
        <v>18.399999999999999</v>
      </c>
      <c r="X168" s="18">
        <v>47</v>
      </c>
      <c r="Y168" s="19">
        <v>864.8</v>
      </c>
      <c r="Z168" s="20">
        <v>90.804000000000002</v>
      </c>
    </row>
    <row r="169" spans="1:26" x14ac:dyDescent="0.25">
      <c r="A169" s="16">
        <v>1191</v>
      </c>
      <c r="B169" s="17">
        <v>41829</v>
      </c>
      <c r="C169" s="18">
        <v>9</v>
      </c>
      <c r="D169" s="18" t="s">
        <v>125</v>
      </c>
      <c r="E169" s="18" t="s">
        <v>126</v>
      </c>
      <c r="F169" s="18" t="s">
        <v>127</v>
      </c>
      <c r="G169" s="18" t="s">
        <v>128</v>
      </c>
      <c r="H169" s="18">
        <v>99999</v>
      </c>
      <c r="I169" s="18" t="s">
        <v>30</v>
      </c>
      <c r="J169" s="18" t="s">
        <v>129</v>
      </c>
      <c r="K169" s="18" t="s">
        <v>32</v>
      </c>
      <c r="L169" s="17">
        <v>41831</v>
      </c>
      <c r="M169" s="18" t="s">
        <v>46</v>
      </c>
      <c r="N169" s="18" t="s">
        <v>130</v>
      </c>
      <c r="O169" s="18" t="s">
        <v>126</v>
      </c>
      <c r="P169" s="18" t="s">
        <v>127</v>
      </c>
      <c r="Q169" s="18" t="s">
        <v>128</v>
      </c>
      <c r="R169" s="18">
        <v>99999</v>
      </c>
      <c r="S169" s="18" t="s">
        <v>30</v>
      </c>
      <c r="T169" s="18" t="s">
        <v>35</v>
      </c>
      <c r="U169" s="18" t="s">
        <v>131</v>
      </c>
      <c r="V169" s="18" t="s">
        <v>132</v>
      </c>
      <c r="W169" s="19">
        <v>19.5</v>
      </c>
      <c r="X169" s="18">
        <v>61</v>
      </c>
      <c r="Y169" s="19">
        <v>1189.5</v>
      </c>
      <c r="Z169" s="20">
        <v>123.70800000000001</v>
      </c>
    </row>
    <row r="170" spans="1:26" x14ac:dyDescent="0.25">
      <c r="A170" s="16">
        <v>1192</v>
      </c>
      <c r="B170" s="17">
        <v>41829</v>
      </c>
      <c r="C170" s="18">
        <v>9</v>
      </c>
      <c r="D170" s="18" t="s">
        <v>125</v>
      </c>
      <c r="E170" s="18" t="s">
        <v>126</v>
      </c>
      <c r="F170" s="18" t="s">
        <v>127</v>
      </c>
      <c r="G170" s="18" t="s">
        <v>128</v>
      </c>
      <c r="H170" s="18">
        <v>99999</v>
      </c>
      <c r="I170" s="18" t="s">
        <v>30</v>
      </c>
      <c r="J170" s="18" t="s">
        <v>129</v>
      </c>
      <c r="K170" s="18" t="s">
        <v>32</v>
      </c>
      <c r="L170" s="17">
        <v>41831</v>
      </c>
      <c r="M170" s="18" t="s">
        <v>46</v>
      </c>
      <c r="N170" s="18" t="s">
        <v>130</v>
      </c>
      <c r="O170" s="18" t="s">
        <v>126</v>
      </c>
      <c r="P170" s="18" t="s">
        <v>127</v>
      </c>
      <c r="Q170" s="18" t="s">
        <v>128</v>
      </c>
      <c r="R170" s="18">
        <v>99999</v>
      </c>
      <c r="S170" s="18" t="s">
        <v>30</v>
      </c>
      <c r="T170" s="18" t="s">
        <v>35</v>
      </c>
      <c r="U170" s="18" t="s">
        <v>133</v>
      </c>
      <c r="V170" s="18" t="s">
        <v>134</v>
      </c>
      <c r="W170" s="19">
        <v>34.799999999999997</v>
      </c>
      <c r="X170" s="18">
        <v>27</v>
      </c>
      <c r="Y170" s="19">
        <v>939.59999999999991</v>
      </c>
      <c r="Z170" s="20">
        <v>95.839199999999991</v>
      </c>
    </row>
    <row r="171" spans="1:26" x14ac:dyDescent="0.25">
      <c r="A171" s="16">
        <v>1193</v>
      </c>
      <c r="B171" s="17">
        <v>41826</v>
      </c>
      <c r="C171" s="18">
        <v>6</v>
      </c>
      <c r="D171" s="18" t="s">
        <v>82</v>
      </c>
      <c r="E171" s="18" t="s">
        <v>83</v>
      </c>
      <c r="F171" s="18" t="s">
        <v>84</v>
      </c>
      <c r="G171" s="18" t="s">
        <v>85</v>
      </c>
      <c r="H171" s="18">
        <v>99999</v>
      </c>
      <c r="I171" s="18" t="s">
        <v>30</v>
      </c>
      <c r="J171" s="18" t="s">
        <v>86</v>
      </c>
      <c r="K171" s="18" t="s">
        <v>61</v>
      </c>
      <c r="L171" s="17">
        <v>41828</v>
      </c>
      <c r="M171" s="18" t="s">
        <v>33</v>
      </c>
      <c r="N171" s="18" t="s">
        <v>87</v>
      </c>
      <c r="O171" s="18" t="s">
        <v>83</v>
      </c>
      <c r="P171" s="18" t="s">
        <v>84</v>
      </c>
      <c r="Q171" s="18" t="s">
        <v>85</v>
      </c>
      <c r="R171" s="18">
        <v>99999</v>
      </c>
      <c r="S171" s="18" t="s">
        <v>30</v>
      </c>
      <c r="T171" s="18" t="s">
        <v>48</v>
      </c>
      <c r="U171" s="18" t="s">
        <v>36</v>
      </c>
      <c r="V171" s="18" t="s">
        <v>37</v>
      </c>
      <c r="W171" s="19">
        <v>14</v>
      </c>
      <c r="X171" s="18">
        <v>84</v>
      </c>
      <c r="Y171" s="19">
        <v>1176</v>
      </c>
      <c r="Z171" s="20">
        <v>118.77600000000001</v>
      </c>
    </row>
    <row r="172" spans="1:26" x14ac:dyDescent="0.25">
      <c r="A172" s="16">
        <v>1194</v>
      </c>
      <c r="B172" s="17">
        <v>41828</v>
      </c>
      <c r="C172" s="18">
        <v>8</v>
      </c>
      <c r="D172" s="18" t="s">
        <v>56</v>
      </c>
      <c r="E172" s="18" t="s">
        <v>57</v>
      </c>
      <c r="F172" s="18" t="s">
        <v>58</v>
      </c>
      <c r="G172" s="18" t="s">
        <v>59</v>
      </c>
      <c r="H172" s="18">
        <v>99999</v>
      </c>
      <c r="I172" s="18" t="s">
        <v>30</v>
      </c>
      <c r="J172" s="18" t="s">
        <v>60</v>
      </c>
      <c r="K172" s="18" t="s">
        <v>61</v>
      </c>
      <c r="L172" s="17">
        <v>41830</v>
      </c>
      <c r="M172" s="18" t="s">
        <v>33</v>
      </c>
      <c r="N172" s="18" t="s">
        <v>63</v>
      </c>
      <c r="O172" s="18" t="s">
        <v>57</v>
      </c>
      <c r="P172" s="18" t="s">
        <v>58</v>
      </c>
      <c r="Q172" s="18" t="s">
        <v>59</v>
      </c>
      <c r="R172" s="18">
        <v>99999</v>
      </c>
      <c r="S172" s="18" t="s">
        <v>30</v>
      </c>
      <c r="T172" s="18" t="s">
        <v>35</v>
      </c>
      <c r="U172" s="18" t="s">
        <v>88</v>
      </c>
      <c r="V172" s="18" t="s">
        <v>89</v>
      </c>
      <c r="W172" s="19">
        <v>40</v>
      </c>
      <c r="X172" s="18">
        <v>91</v>
      </c>
      <c r="Y172" s="19">
        <v>3640</v>
      </c>
      <c r="Z172" s="20">
        <v>360.36</v>
      </c>
    </row>
    <row r="173" spans="1:26" x14ac:dyDescent="0.25">
      <c r="A173" s="16">
        <v>1195</v>
      </c>
      <c r="B173" s="17">
        <v>41828</v>
      </c>
      <c r="C173" s="18">
        <v>8</v>
      </c>
      <c r="D173" s="18" t="s">
        <v>56</v>
      </c>
      <c r="E173" s="18" t="s">
        <v>57</v>
      </c>
      <c r="F173" s="18" t="s">
        <v>58</v>
      </c>
      <c r="G173" s="18" t="s">
        <v>59</v>
      </c>
      <c r="H173" s="18">
        <v>99999</v>
      </c>
      <c r="I173" s="18" t="s">
        <v>30</v>
      </c>
      <c r="J173" s="18" t="s">
        <v>60</v>
      </c>
      <c r="K173" s="18" t="s">
        <v>61</v>
      </c>
      <c r="L173" s="17">
        <v>41830</v>
      </c>
      <c r="M173" s="18" t="s">
        <v>33</v>
      </c>
      <c r="N173" s="18" t="s">
        <v>63</v>
      </c>
      <c r="O173" s="18" t="s">
        <v>57</v>
      </c>
      <c r="P173" s="18" t="s">
        <v>58</v>
      </c>
      <c r="Q173" s="18" t="s">
        <v>59</v>
      </c>
      <c r="R173" s="18">
        <v>99999</v>
      </c>
      <c r="S173" s="18" t="s">
        <v>30</v>
      </c>
      <c r="T173" s="18" t="s">
        <v>35</v>
      </c>
      <c r="U173" s="18" t="s">
        <v>64</v>
      </c>
      <c r="V173" s="18" t="s">
        <v>65</v>
      </c>
      <c r="W173" s="19">
        <v>9.1999999999999993</v>
      </c>
      <c r="X173" s="18">
        <v>36</v>
      </c>
      <c r="Y173" s="19">
        <v>331.2</v>
      </c>
      <c r="Z173" s="20">
        <v>34.444800000000001</v>
      </c>
    </row>
    <row r="174" spans="1:26" x14ac:dyDescent="0.25">
      <c r="A174" s="16">
        <v>1196</v>
      </c>
      <c r="B174" s="17">
        <v>41845</v>
      </c>
      <c r="C174" s="18">
        <v>25</v>
      </c>
      <c r="D174" s="18" t="s">
        <v>137</v>
      </c>
      <c r="E174" s="18" t="s">
        <v>138</v>
      </c>
      <c r="F174" s="18" t="s">
        <v>99</v>
      </c>
      <c r="G174" s="18" t="s">
        <v>100</v>
      </c>
      <c r="H174" s="18">
        <v>99999</v>
      </c>
      <c r="I174" s="18" t="s">
        <v>30</v>
      </c>
      <c r="J174" s="18" t="s">
        <v>101</v>
      </c>
      <c r="K174" s="18" t="s">
        <v>45</v>
      </c>
      <c r="L174" s="18">
        <v>41847</v>
      </c>
      <c r="M174" s="18" t="s">
        <v>46</v>
      </c>
      <c r="N174" s="18" t="s">
        <v>139</v>
      </c>
      <c r="O174" s="18" t="s">
        <v>138</v>
      </c>
      <c r="P174" s="18" t="s">
        <v>99</v>
      </c>
      <c r="Q174" s="18" t="s">
        <v>100</v>
      </c>
      <c r="R174" s="18">
        <v>99999</v>
      </c>
      <c r="S174" s="18" t="s">
        <v>30</v>
      </c>
      <c r="T174" s="18" t="s">
        <v>79</v>
      </c>
      <c r="U174" s="18" t="s">
        <v>146</v>
      </c>
      <c r="V174" s="18" t="s">
        <v>65</v>
      </c>
      <c r="W174" s="19">
        <v>10</v>
      </c>
      <c r="X174" s="18">
        <v>34</v>
      </c>
      <c r="Y174" s="19">
        <v>340</v>
      </c>
      <c r="Z174" s="20">
        <v>34.340000000000003</v>
      </c>
    </row>
    <row r="175" spans="1:26" x14ac:dyDescent="0.25">
      <c r="A175" s="16">
        <v>1197</v>
      </c>
      <c r="B175" s="17">
        <v>41846</v>
      </c>
      <c r="C175" s="18">
        <v>26</v>
      </c>
      <c r="D175" s="18" t="s">
        <v>140</v>
      </c>
      <c r="E175" s="18" t="s">
        <v>141</v>
      </c>
      <c r="F175" s="18" t="s">
        <v>115</v>
      </c>
      <c r="G175" s="18" t="s">
        <v>116</v>
      </c>
      <c r="H175" s="18">
        <v>99999</v>
      </c>
      <c r="I175" s="18" t="s">
        <v>30</v>
      </c>
      <c r="J175" s="18" t="s">
        <v>94</v>
      </c>
      <c r="K175" s="18" t="s">
        <v>95</v>
      </c>
      <c r="L175" s="18">
        <v>41848</v>
      </c>
      <c r="M175" s="18" t="s">
        <v>62</v>
      </c>
      <c r="N175" s="18" t="s">
        <v>142</v>
      </c>
      <c r="O175" s="18" t="s">
        <v>141</v>
      </c>
      <c r="P175" s="18" t="s">
        <v>115</v>
      </c>
      <c r="Q175" s="18" t="s">
        <v>116</v>
      </c>
      <c r="R175" s="18">
        <v>99999</v>
      </c>
      <c r="S175" s="18" t="s">
        <v>30</v>
      </c>
      <c r="T175" s="18" t="s">
        <v>48</v>
      </c>
      <c r="U175" s="18" t="s">
        <v>147</v>
      </c>
      <c r="V175" s="18" t="s">
        <v>148</v>
      </c>
      <c r="W175" s="19">
        <v>21.35</v>
      </c>
      <c r="X175" s="18">
        <v>81</v>
      </c>
      <c r="Y175" s="19">
        <v>1729.3500000000001</v>
      </c>
      <c r="Z175" s="20">
        <v>178.12305000000003</v>
      </c>
    </row>
    <row r="176" spans="1:26" x14ac:dyDescent="0.25">
      <c r="A176" s="16">
        <v>1198</v>
      </c>
      <c r="B176" s="17">
        <v>41846</v>
      </c>
      <c r="C176" s="18">
        <v>26</v>
      </c>
      <c r="D176" s="18" t="s">
        <v>140</v>
      </c>
      <c r="E176" s="18" t="s">
        <v>141</v>
      </c>
      <c r="F176" s="18" t="s">
        <v>115</v>
      </c>
      <c r="G176" s="18" t="s">
        <v>116</v>
      </c>
      <c r="H176" s="18">
        <v>99999</v>
      </c>
      <c r="I176" s="18" t="s">
        <v>30</v>
      </c>
      <c r="J176" s="18" t="s">
        <v>94</v>
      </c>
      <c r="K176" s="18" t="s">
        <v>95</v>
      </c>
      <c r="L176" s="18">
        <v>41848</v>
      </c>
      <c r="M176" s="18" t="s">
        <v>62</v>
      </c>
      <c r="N176" s="18" t="s">
        <v>142</v>
      </c>
      <c r="O176" s="18" t="s">
        <v>141</v>
      </c>
      <c r="P176" s="18" t="s">
        <v>115</v>
      </c>
      <c r="Q176" s="18" t="s">
        <v>116</v>
      </c>
      <c r="R176" s="18">
        <v>99999</v>
      </c>
      <c r="S176" s="18" t="s">
        <v>30</v>
      </c>
      <c r="T176" s="18" t="s">
        <v>48</v>
      </c>
      <c r="U176" s="18" t="s">
        <v>80</v>
      </c>
      <c r="V176" s="18" t="s">
        <v>81</v>
      </c>
      <c r="W176" s="19">
        <v>9.65</v>
      </c>
      <c r="X176" s="18">
        <v>25</v>
      </c>
      <c r="Y176" s="19">
        <v>241.25</v>
      </c>
      <c r="Z176" s="20">
        <v>23.401250000000001</v>
      </c>
    </row>
    <row r="177" spans="1:26" x14ac:dyDescent="0.25">
      <c r="A177" s="16">
        <v>1199</v>
      </c>
      <c r="B177" s="17">
        <v>41846</v>
      </c>
      <c r="C177" s="18">
        <v>26</v>
      </c>
      <c r="D177" s="18" t="s">
        <v>140</v>
      </c>
      <c r="E177" s="18" t="s">
        <v>141</v>
      </c>
      <c r="F177" s="18" t="s">
        <v>115</v>
      </c>
      <c r="G177" s="18" t="s">
        <v>116</v>
      </c>
      <c r="H177" s="18">
        <v>99999</v>
      </c>
      <c r="I177" s="18" t="s">
        <v>30</v>
      </c>
      <c r="J177" s="18" t="s">
        <v>94</v>
      </c>
      <c r="K177" s="18" t="s">
        <v>95</v>
      </c>
      <c r="L177" s="18">
        <v>41848</v>
      </c>
      <c r="M177" s="18" t="s">
        <v>62</v>
      </c>
      <c r="N177" s="18" t="s">
        <v>142</v>
      </c>
      <c r="O177" s="18" t="s">
        <v>141</v>
      </c>
      <c r="P177" s="18" t="s">
        <v>115</v>
      </c>
      <c r="Q177" s="18" t="s">
        <v>116</v>
      </c>
      <c r="R177" s="18">
        <v>99999</v>
      </c>
      <c r="S177" s="18" t="s">
        <v>30</v>
      </c>
      <c r="T177" s="18" t="s">
        <v>48</v>
      </c>
      <c r="U177" s="18" t="s">
        <v>123</v>
      </c>
      <c r="V177" s="18" t="s">
        <v>124</v>
      </c>
      <c r="W177" s="19">
        <v>18.399999999999999</v>
      </c>
      <c r="X177" s="18">
        <v>12</v>
      </c>
      <c r="Y177" s="19">
        <v>220.79999999999998</v>
      </c>
      <c r="Z177" s="20">
        <v>22.08</v>
      </c>
    </row>
    <row r="178" spans="1:26" x14ac:dyDescent="0.25">
      <c r="A178" s="16">
        <v>1200</v>
      </c>
      <c r="B178" s="17">
        <v>41849</v>
      </c>
      <c r="C178" s="18">
        <v>29</v>
      </c>
      <c r="D178" s="18" t="s">
        <v>66</v>
      </c>
      <c r="E178" s="18" t="s">
        <v>67</v>
      </c>
      <c r="F178" s="18" t="s">
        <v>68</v>
      </c>
      <c r="G178" s="18" t="s">
        <v>69</v>
      </c>
      <c r="H178" s="18">
        <v>99999</v>
      </c>
      <c r="I178" s="18" t="s">
        <v>30</v>
      </c>
      <c r="J178" s="18" t="s">
        <v>70</v>
      </c>
      <c r="K178" s="18" t="s">
        <v>32</v>
      </c>
      <c r="L178" s="17">
        <v>41851</v>
      </c>
      <c r="M178" s="18" t="s">
        <v>33</v>
      </c>
      <c r="N178" s="18" t="s">
        <v>71</v>
      </c>
      <c r="O178" s="18" t="s">
        <v>67</v>
      </c>
      <c r="P178" s="18" t="s">
        <v>68</v>
      </c>
      <c r="Q178" s="18" t="s">
        <v>69</v>
      </c>
      <c r="R178" s="18">
        <v>99999</v>
      </c>
      <c r="S178" s="18" t="s">
        <v>30</v>
      </c>
      <c r="T178" s="18" t="s">
        <v>35</v>
      </c>
      <c r="U178" s="18" t="s">
        <v>36</v>
      </c>
      <c r="V178" s="18" t="s">
        <v>37</v>
      </c>
      <c r="W178" s="19">
        <v>14</v>
      </c>
      <c r="X178" s="18">
        <v>23</v>
      </c>
      <c r="Y178" s="19">
        <v>322</v>
      </c>
      <c r="Z178" s="20">
        <v>30.912000000000003</v>
      </c>
    </row>
    <row r="179" spans="1:26" x14ac:dyDescent="0.25">
      <c r="A179" s="16">
        <v>1201</v>
      </c>
      <c r="B179" s="17">
        <v>41826</v>
      </c>
      <c r="C179" s="18">
        <v>6</v>
      </c>
      <c r="D179" s="18" t="s">
        <v>82</v>
      </c>
      <c r="E179" s="18" t="s">
        <v>83</v>
      </c>
      <c r="F179" s="18" t="s">
        <v>84</v>
      </c>
      <c r="G179" s="18" t="s">
        <v>85</v>
      </c>
      <c r="H179" s="18">
        <v>99999</v>
      </c>
      <c r="I179" s="18" t="s">
        <v>30</v>
      </c>
      <c r="J179" s="18" t="s">
        <v>86</v>
      </c>
      <c r="K179" s="18" t="s">
        <v>61</v>
      </c>
      <c r="L179" s="17">
        <v>41828</v>
      </c>
      <c r="M179" s="18" t="s">
        <v>62</v>
      </c>
      <c r="N179" s="18" t="s">
        <v>87</v>
      </c>
      <c r="O179" s="18" t="s">
        <v>83</v>
      </c>
      <c r="P179" s="18" t="s">
        <v>84</v>
      </c>
      <c r="Q179" s="18" t="s">
        <v>85</v>
      </c>
      <c r="R179" s="18">
        <v>99999</v>
      </c>
      <c r="S179" s="18" t="s">
        <v>30</v>
      </c>
      <c r="T179" s="18" t="s">
        <v>35</v>
      </c>
      <c r="U179" s="18" t="s">
        <v>72</v>
      </c>
      <c r="V179" s="18" t="s">
        <v>73</v>
      </c>
      <c r="W179" s="19">
        <v>12.75</v>
      </c>
      <c r="X179" s="18">
        <v>76</v>
      </c>
      <c r="Y179" s="19">
        <v>969</v>
      </c>
      <c r="Z179" s="20">
        <v>97.869</v>
      </c>
    </row>
    <row r="180" spans="1:26" x14ac:dyDescent="0.25">
      <c r="A180" s="16">
        <v>1203</v>
      </c>
      <c r="B180" s="17">
        <v>41824</v>
      </c>
      <c r="C180" s="18">
        <v>4</v>
      </c>
      <c r="D180" s="18" t="s">
        <v>40</v>
      </c>
      <c r="E180" s="18" t="s">
        <v>41</v>
      </c>
      <c r="F180" s="18" t="s">
        <v>42</v>
      </c>
      <c r="G180" s="18" t="s">
        <v>43</v>
      </c>
      <c r="H180" s="18">
        <v>99999</v>
      </c>
      <c r="I180" s="18" t="s">
        <v>30</v>
      </c>
      <c r="J180" s="18" t="s">
        <v>44</v>
      </c>
      <c r="K180" s="18" t="s">
        <v>45</v>
      </c>
      <c r="L180" s="17">
        <v>41826</v>
      </c>
      <c r="M180" s="18" t="s">
        <v>46</v>
      </c>
      <c r="N180" s="18" t="s">
        <v>47</v>
      </c>
      <c r="O180" s="18" t="s">
        <v>41</v>
      </c>
      <c r="P180" s="18" t="s">
        <v>42</v>
      </c>
      <c r="Q180" s="18" t="s">
        <v>43</v>
      </c>
      <c r="R180" s="18">
        <v>99999</v>
      </c>
      <c r="S180" s="18" t="s">
        <v>30</v>
      </c>
      <c r="T180" s="18" t="s">
        <v>48</v>
      </c>
      <c r="U180" s="18" t="s">
        <v>149</v>
      </c>
      <c r="V180" s="18" t="s">
        <v>110</v>
      </c>
      <c r="W180" s="19">
        <v>81</v>
      </c>
      <c r="X180" s="18">
        <v>55</v>
      </c>
      <c r="Y180" s="19">
        <v>4455</v>
      </c>
      <c r="Z180" s="20">
        <v>445.5</v>
      </c>
    </row>
    <row r="181" spans="1:26" x14ac:dyDescent="0.25">
      <c r="A181" s="16">
        <v>1204</v>
      </c>
      <c r="B181" s="17">
        <v>41824</v>
      </c>
      <c r="C181" s="18">
        <v>4</v>
      </c>
      <c r="D181" s="18" t="s">
        <v>40</v>
      </c>
      <c r="E181" s="18" t="s">
        <v>41</v>
      </c>
      <c r="F181" s="18" t="s">
        <v>42</v>
      </c>
      <c r="G181" s="18" t="s">
        <v>43</v>
      </c>
      <c r="H181" s="18">
        <v>99999</v>
      </c>
      <c r="I181" s="18" t="s">
        <v>30</v>
      </c>
      <c r="J181" s="18" t="s">
        <v>44</v>
      </c>
      <c r="K181" s="18" t="s">
        <v>45</v>
      </c>
      <c r="L181" s="17">
        <v>41826</v>
      </c>
      <c r="M181" s="18" t="s">
        <v>46</v>
      </c>
      <c r="N181" s="18" t="s">
        <v>47</v>
      </c>
      <c r="O181" s="18" t="s">
        <v>41</v>
      </c>
      <c r="P181" s="18" t="s">
        <v>42</v>
      </c>
      <c r="Q181" s="18" t="s">
        <v>43</v>
      </c>
      <c r="R181" s="18">
        <v>99999</v>
      </c>
      <c r="S181" s="18" t="s">
        <v>30</v>
      </c>
      <c r="T181" s="18" t="s">
        <v>48</v>
      </c>
      <c r="U181" s="18" t="s">
        <v>150</v>
      </c>
      <c r="V181" s="18" t="s">
        <v>151</v>
      </c>
      <c r="W181" s="19">
        <v>7</v>
      </c>
      <c r="X181" s="18">
        <v>19</v>
      </c>
      <c r="Y181" s="19">
        <v>133</v>
      </c>
      <c r="Z181" s="20">
        <v>12.901</v>
      </c>
    </row>
    <row r="182" spans="1:26" x14ac:dyDescent="0.25">
      <c r="A182" s="16">
        <v>1206</v>
      </c>
      <c r="B182" s="17">
        <v>41828</v>
      </c>
      <c r="C182" s="18">
        <v>8</v>
      </c>
      <c r="D182" s="18" t="s">
        <v>56</v>
      </c>
      <c r="E182" s="18" t="s">
        <v>57</v>
      </c>
      <c r="F182" s="18" t="s">
        <v>58</v>
      </c>
      <c r="G182" s="18" t="s">
        <v>59</v>
      </c>
      <c r="H182" s="18">
        <v>99999</v>
      </c>
      <c r="I182" s="18" t="s">
        <v>30</v>
      </c>
      <c r="J182" s="18" t="s">
        <v>60</v>
      </c>
      <c r="K182" s="18" t="s">
        <v>61</v>
      </c>
      <c r="L182" s="17">
        <v>41830</v>
      </c>
      <c r="M182" s="18" t="s">
        <v>62</v>
      </c>
      <c r="N182" s="18" t="s">
        <v>63</v>
      </c>
      <c r="O182" s="18" t="s">
        <v>57</v>
      </c>
      <c r="P182" s="18" t="s">
        <v>58</v>
      </c>
      <c r="Q182" s="18" t="s">
        <v>59</v>
      </c>
      <c r="R182" s="18">
        <v>99999</v>
      </c>
      <c r="S182" s="18" t="s">
        <v>30</v>
      </c>
      <c r="T182" s="18" t="s">
        <v>48</v>
      </c>
      <c r="U182" s="18" t="s">
        <v>133</v>
      </c>
      <c r="V182" s="18" t="s">
        <v>134</v>
      </c>
      <c r="W182" s="19">
        <v>34.799999999999997</v>
      </c>
      <c r="X182" s="18">
        <v>27</v>
      </c>
      <c r="Y182" s="19">
        <v>939.59999999999991</v>
      </c>
      <c r="Z182" s="20">
        <v>89.261999999999986</v>
      </c>
    </row>
    <row r="183" spans="1:26" x14ac:dyDescent="0.25">
      <c r="A183" s="16">
        <v>1209</v>
      </c>
      <c r="B183" s="17">
        <v>41823</v>
      </c>
      <c r="C183" s="18">
        <v>3</v>
      </c>
      <c r="D183" s="18" t="s">
        <v>74</v>
      </c>
      <c r="E183" s="18" t="s">
        <v>75</v>
      </c>
      <c r="F183" s="18" t="s">
        <v>76</v>
      </c>
      <c r="G183" s="18" t="s">
        <v>77</v>
      </c>
      <c r="H183" s="18">
        <v>99999</v>
      </c>
      <c r="I183" s="18" t="s">
        <v>30</v>
      </c>
      <c r="J183" s="18" t="s">
        <v>31</v>
      </c>
      <c r="K183" s="18" t="s">
        <v>32</v>
      </c>
      <c r="L183" s="17">
        <v>41825</v>
      </c>
      <c r="M183" s="18" t="s">
        <v>33</v>
      </c>
      <c r="N183" s="18" t="s">
        <v>78</v>
      </c>
      <c r="O183" s="18" t="s">
        <v>75</v>
      </c>
      <c r="P183" s="18" t="s">
        <v>76</v>
      </c>
      <c r="Q183" s="18" t="s">
        <v>77</v>
      </c>
      <c r="R183" s="18">
        <v>99999</v>
      </c>
      <c r="S183" s="18" t="s">
        <v>30</v>
      </c>
      <c r="T183" s="18" t="s">
        <v>79</v>
      </c>
      <c r="U183" s="18" t="s">
        <v>135</v>
      </c>
      <c r="V183" s="18" t="s">
        <v>112</v>
      </c>
      <c r="W183" s="19">
        <v>10</v>
      </c>
      <c r="X183" s="18">
        <v>99</v>
      </c>
      <c r="Y183" s="19">
        <v>990</v>
      </c>
      <c r="Z183" s="20">
        <v>95.039999999999992</v>
      </c>
    </row>
    <row r="184" spans="1:26" x14ac:dyDescent="0.25">
      <c r="A184" s="16">
        <v>1210</v>
      </c>
      <c r="B184" s="17">
        <v>41823</v>
      </c>
      <c r="C184" s="18">
        <v>3</v>
      </c>
      <c r="D184" s="18" t="s">
        <v>74</v>
      </c>
      <c r="E184" s="18" t="s">
        <v>75</v>
      </c>
      <c r="F184" s="18" t="s">
        <v>76</v>
      </c>
      <c r="G184" s="18" t="s">
        <v>77</v>
      </c>
      <c r="H184" s="18">
        <v>99999</v>
      </c>
      <c r="I184" s="18" t="s">
        <v>30</v>
      </c>
      <c r="J184" s="18" t="s">
        <v>31</v>
      </c>
      <c r="K184" s="18" t="s">
        <v>32</v>
      </c>
      <c r="L184" s="17">
        <v>41825</v>
      </c>
      <c r="M184" s="18" t="s">
        <v>33</v>
      </c>
      <c r="N184" s="18" t="s">
        <v>78</v>
      </c>
      <c r="O184" s="18" t="s">
        <v>75</v>
      </c>
      <c r="P184" s="18" t="s">
        <v>76</v>
      </c>
      <c r="Q184" s="18" t="s">
        <v>77</v>
      </c>
      <c r="R184" s="18">
        <v>99999</v>
      </c>
      <c r="S184" s="18" t="s">
        <v>30</v>
      </c>
      <c r="T184" s="18" t="s">
        <v>79</v>
      </c>
      <c r="U184" s="18" t="s">
        <v>88</v>
      </c>
      <c r="V184" s="18" t="s">
        <v>89</v>
      </c>
      <c r="W184" s="19">
        <v>40</v>
      </c>
      <c r="X184" s="18">
        <v>10</v>
      </c>
      <c r="Y184" s="19">
        <v>400</v>
      </c>
      <c r="Z184" s="20">
        <v>40</v>
      </c>
    </row>
    <row r="185" spans="1:26" x14ac:dyDescent="0.25">
      <c r="A185" s="16">
        <v>1214</v>
      </c>
      <c r="B185" s="17">
        <v>41830</v>
      </c>
      <c r="C185" s="18">
        <v>10</v>
      </c>
      <c r="D185" s="18" t="s">
        <v>97</v>
      </c>
      <c r="E185" s="18" t="s">
        <v>98</v>
      </c>
      <c r="F185" s="18" t="s">
        <v>99</v>
      </c>
      <c r="G185" s="18" t="s">
        <v>100</v>
      </c>
      <c r="H185" s="18">
        <v>99999</v>
      </c>
      <c r="I185" s="18" t="s">
        <v>30</v>
      </c>
      <c r="J185" s="18" t="s">
        <v>101</v>
      </c>
      <c r="K185" s="18" t="s">
        <v>45</v>
      </c>
      <c r="L185" s="17">
        <v>41832</v>
      </c>
      <c r="M185" s="18" t="s">
        <v>33</v>
      </c>
      <c r="N185" s="18" t="s">
        <v>102</v>
      </c>
      <c r="O185" s="18" t="s">
        <v>98</v>
      </c>
      <c r="P185" s="18" t="s">
        <v>99</v>
      </c>
      <c r="Q185" s="18" t="s">
        <v>100</v>
      </c>
      <c r="R185" s="18">
        <v>99999</v>
      </c>
      <c r="S185" s="18" t="s">
        <v>30</v>
      </c>
      <c r="T185" s="18" t="s">
        <v>48</v>
      </c>
      <c r="U185" s="18" t="s">
        <v>136</v>
      </c>
      <c r="V185" s="18" t="s">
        <v>39</v>
      </c>
      <c r="W185" s="19">
        <v>10</v>
      </c>
      <c r="X185" s="18">
        <v>80</v>
      </c>
      <c r="Y185" s="19">
        <v>800</v>
      </c>
      <c r="Z185" s="20">
        <v>77.599999999999994</v>
      </c>
    </row>
    <row r="186" spans="1:26" x14ac:dyDescent="0.25">
      <c r="A186" s="16">
        <v>1216</v>
      </c>
      <c r="B186" s="17">
        <v>41830</v>
      </c>
      <c r="C186" s="18">
        <v>10</v>
      </c>
      <c r="D186" s="18" t="s">
        <v>97</v>
      </c>
      <c r="E186" s="18" t="s">
        <v>98</v>
      </c>
      <c r="F186" s="18" t="s">
        <v>99</v>
      </c>
      <c r="G186" s="18" t="s">
        <v>100</v>
      </c>
      <c r="H186" s="18">
        <v>99999</v>
      </c>
      <c r="I186" s="18" t="s">
        <v>30</v>
      </c>
      <c r="J186" s="18" t="s">
        <v>101</v>
      </c>
      <c r="K186" s="18" t="s">
        <v>45</v>
      </c>
      <c r="L186" s="17"/>
      <c r="M186" s="18" t="s">
        <v>46</v>
      </c>
      <c r="N186" s="18" t="s">
        <v>102</v>
      </c>
      <c r="O186" s="18" t="s">
        <v>98</v>
      </c>
      <c r="P186" s="18" t="s">
        <v>99</v>
      </c>
      <c r="Q186" s="18" t="s">
        <v>100</v>
      </c>
      <c r="R186" s="18">
        <v>99999</v>
      </c>
      <c r="S186" s="18" t="s">
        <v>30</v>
      </c>
      <c r="T186" s="18"/>
      <c r="U186" s="18" t="s">
        <v>38</v>
      </c>
      <c r="V186" s="18" t="s">
        <v>39</v>
      </c>
      <c r="W186" s="19">
        <v>3.5</v>
      </c>
      <c r="X186" s="18">
        <v>27</v>
      </c>
      <c r="Y186" s="19">
        <v>94.5</v>
      </c>
      <c r="Z186" s="20">
        <v>9.072000000000001</v>
      </c>
    </row>
    <row r="187" spans="1:26" x14ac:dyDescent="0.25">
      <c r="A187" s="16">
        <v>1217</v>
      </c>
      <c r="B187" s="17">
        <v>41831</v>
      </c>
      <c r="C187" s="18">
        <v>11</v>
      </c>
      <c r="D187" s="18" t="s">
        <v>113</v>
      </c>
      <c r="E187" s="18" t="s">
        <v>114</v>
      </c>
      <c r="F187" s="18" t="s">
        <v>115</v>
      </c>
      <c r="G187" s="18" t="s">
        <v>116</v>
      </c>
      <c r="H187" s="18">
        <v>99999</v>
      </c>
      <c r="I187" s="18" t="s">
        <v>30</v>
      </c>
      <c r="J187" s="18" t="s">
        <v>94</v>
      </c>
      <c r="K187" s="18" t="s">
        <v>95</v>
      </c>
      <c r="L187" s="18"/>
      <c r="M187" s="18" t="s">
        <v>62</v>
      </c>
      <c r="N187" s="18" t="s">
        <v>117</v>
      </c>
      <c r="O187" s="18" t="s">
        <v>114</v>
      </c>
      <c r="P187" s="18" t="s">
        <v>115</v>
      </c>
      <c r="Q187" s="18" t="s">
        <v>116</v>
      </c>
      <c r="R187" s="18">
        <v>99999</v>
      </c>
      <c r="S187" s="18" t="s">
        <v>30</v>
      </c>
      <c r="T187" s="18"/>
      <c r="U187" s="18" t="s">
        <v>88</v>
      </c>
      <c r="V187" s="18" t="s">
        <v>89</v>
      </c>
      <c r="W187" s="19">
        <v>40</v>
      </c>
      <c r="X187" s="18">
        <v>97</v>
      </c>
      <c r="Y187" s="19">
        <v>3880</v>
      </c>
      <c r="Z187" s="20">
        <v>380.24</v>
      </c>
    </row>
    <row r="188" spans="1:26" x14ac:dyDescent="0.25">
      <c r="A188" s="16">
        <v>1218</v>
      </c>
      <c r="B188" s="17">
        <v>41821</v>
      </c>
      <c r="C188" s="18">
        <v>1</v>
      </c>
      <c r="D188" s="18" t="s">
        <v>118</v>
      </c>
      <c r="E188" s="18" t="s">
        <v>119</v>
      </c>
      <c r="F188" s="18" t="s">
        <v>120</v>
      </c>
      <c r="G188" s="18" t="s">
        <v>121</v>
      </c>
      <c r="H188" s="18">
        <v>99999</v>
      </c>
      <c r="I188" s="18" t="s">
        <v>30</v>
      </c>
      <c r="J188" s="18" t="s">
        <v>60</v>
      </c>
      <c r="K188" s="18" t="s">
        <v>61</v>
      </c>
      <c r="L188" s="18"/>
      <c r="M188" s="18" t="s">
        <v>62</v>
      </c>
      <c r="N188" s="18" t="s">
        <v>122</v>
      </c>
      <c r="O188" s="18" t="s">
        <v>119</v>
      </c>
      <c r="P188" s="18" t="s">
        <v>120</v>
      </c>
      <c r="Q188" s="18" t="s">
        <v>121</v>
      </c>
      <c r="R188" s="18">
        <v>99999</v>
      </c>
      <c r="S188" s="18" t="s">
        <v>30</v>
      </c>
      <c r="T188" s="18"/>
      <c r="U188" s="18" t="s">
        <v>123</v>
      </c>
      <c r="V188" s="18" t="s">
        <v>124</v>
      </c>
      <c r="W188" s="19">
        <v>18.399999999999999</v>
      </c>
      <c r="X188" s="18">
        <v>42</v>
      </c>
      <c r="Y188" s="19">
        <v>772.8</v>
      </c>
      <c r="Z188" s="20">
        <v>80.371200000000002</v>
      </c>
    </row>
    <row r="189" spans="1:26" x14ac:dyDescent="0.25">
      <c r="A189" s="16">
        <v>1219</v>
      </c>
      <c r="B189" s="17">
        <v>41848</v>
      </c>
      <c r="C189" s="18">
        <v>28</v>
      </c>
      <c r="D189" s="18" t="s">
        <v>90</v>
      </c>
      <c r="E189" s="18" t="s">
        <v>91</v>
      </c>
      <c r="F189" s="18" t="s">
        <v>92</v>
      </c>
      <c r="G189" s="18" t="s">
        <v>93</v>
      </c>
      <c r="H189" s="18">
        <v>99999</v>
      </c>
      <c r="I189" s="18" t="s">
        <v>30</v>
      </c>
      <c r="J189" s="18" t="s">
        <v>94</v>
      </c>
      <c r="K189" s="18" t="s">
        <v>95</v>
      </c>
      <c r="L189" s="18">
        <v>41850</v>
      </c>
      <c r="M189" s="18" t="s">
        <v>62</v>
      </c>
      <c r="N189" s="18" t="s">
        <v>96</v>
      </c>
      <c r="O189" s="18" t="s">
        <v>91</v>
      </c>
      <c r="P189" s="18" t="s">
        <v>92</v>
      </c>
      <c r="Q189" s="18" t="s">
        <v>93</v>
      </c>
      <c r="R189" s="18">
        <v>99999</v>
      </c>
      <c r="S189" s="18" t="s">
        <v>30</v>
      </c>
      <c r="T189" s="18" t="s">
        <v>48</v>
      </c>
      <c r="U189" s="18" t="s">
        <v>55</v>
      </c>
      <c r="V189" s="18" t="s">
        <v>37</v>
      </c>
      <c r="W189" s="19">
        <v>46</v>
      </c>
      <c r="X189" s="18">
        <v>24</v>
      </c>
      <c r="Y189" s="19">
        <v>1104</v>
      </c>
      <c r="Z189" s="20">
        <v>105.98399999999999</v>
      </c>
    </row>
    <row r="190" spans="1:26" x14ac:dyDescent="0.25">
      <c r="A190" s="16">
        <v>1220</v>
      </c>
      <c r="B190" s="17">
        <v>41829</v>
      </c>
      <c r="C190" s="18">
        <v>9</v>
      </c>
      <c r="D190" s="18" t="s">
        <v>125</v>
      </c>
      <c r="E190" s="18" t="s">
        <v>126</v>
      </c>
      <c r="F190" s="18" t="s">
        <v>127</v>
      </c>
      <c r="G190" s="18" t="s">
        <v>128</v>
      </c>
      <c r="H190" s="18">
        <v>99999</v>
      </c>
      <c r="I190" s="18" t="s">
        <v>30</v>
      </c>
      <c r="J190" s="18" t="s">
        <v>129</v>
      </c>
      <c r="K190" s="18" t="s">
        <v>32</v>
      </c>
      <c r="L190" s="17">
        <v>41831</v>
      </c>
      <c r="M190" s="18" t="s">
        <v>46</v>
      </c>
      <c r="N190" s="18" t="s">
        <v>130</v>
      </c>
      <c r="O190" s="18" t="s">
        <v>126</v>
      </c>
      <c r="P190" s="18" t="s">
        <v>127</v>
      </c>
      <c r="Q190" s="18" t="s">
        <v>128</v>
      </c>
      <c r="R190" s="18">
        <v>99999</v>
      </c>
      <c r="S190" s="18" t="s">
        <v>30</v>
      </c>
      <c r="T190" s="18" t="s">
        <v>35</v>
      </c>
      <c r="U190" s="18" t="s">
        <v>80</v>
      </c>
      <c r="V190" s="18" t="s">
        <v>81</v>
      </c>
      <c r="W190" s="19">
        <v>9.65</v>
      </c>
      <c r="X190" s="18">
        <v>90</v>
      </c>
      <c r="Y190" s="19">
        <v>868.5</v>
      </c>
      <c r="Z190" s="20">
        <v>83.376000000000005</v>
      </c>
    </row>
    <row r="191" spans="1:26" x14ac:dyDescent="0.25">
      <c r="A191" s="16">
        <v>1221</v>
      </c>
      <c r="B191" s="17">
        <v>41826</v>
      </c>
      <c r="C191" s="18">
        <v>6</v>
      </c>
      <c r="D191" s="18" t="s">
        <v>82</v>
      </c>
      <c r="E191" s="18" t="s">
        <v>83</v>
      </c>
      <c r="F191" s="18" t="s">
        <v>84</v>
      </c>
      <c r="G191" s="18" t="s">
        <v>85</v>
      </c>
      <c r="H191" s="18">
        <v>99999</v>
      </c>
      <c r="I191" s="18" t="s">
        <v>30</v>
      </c>
      <c r="J191" s="18" t="s">
        <v>86</v>
      </c>
      <c r="K191" s="18" t="s">
        <v>61</v>
      </c>
      <c r="L191" s="17">
        <v>41828</v>
      </c>
      <c r="M191" s="18" t="s">
        <v>33</v>
      </c>
      <c r="N191" s="18" t="s">
        <v>87</v>
      </c>
      <c r="O191" s="18" t="s">
        <v>83</v>
      </c>
      <c r="P191" s="18" t="s">
        <v>84</v>
      </c>
      <c r="Q191" s="18" t="s">
        <v>85</v>
      </c>
      <c r="R191" s="18">
        <v>99999</v>
      </c>
      <c r="S191" s="18" t="s">
        <v>30</v>
      </c>
      <c r="T191" s="18" t="s">
        <v>48</v>
      </c>
      <c r="U191" s="18" t="s">
        <v>72</v>
      </c>
      <c r="V191" s="18" t="s">
        <v>73</v>
      </c>
      <c r="W191" s="19">
        <v>12.75</v>
      </c>
      <c r="X191" s="18">
        <v>28</v>
      </c>
      <c r="Y191" s="19">
        <v>357</v>
      </c>
      <c r="Z191" s="20">
        <v>35.700000000000003</v>
      </c>
    </row>
    <row r="192" spans="1:26" x14ac:dyDescent="0.25">
      <c r="A192" s="16">
        <v>1222</v>
      </c>
      <c r="B192" s="17">
        <v>41879</v>
      </c>
      <c r="C192" s="18">
        <v>28</v>
      </c>
      <c r="D192" s="18" t="s">
        <v>90</v>
      </c>
      <c r="E192" s="18" t="s">
        <v>91</v>
      </c>
      <c r="F192" s="18" t="s">
        <v>92</v>
      </c>
      <c r="G192" s="18" t="s">
        <v>93</v>
      </c>
      <c r="H192" s="18">
        <v>99999</v>
      </c>
      <c r="I192" s="18" t="s">
        <v>30</v>
      </c>
      <c r="J192" s="18" t="s">
        <v>94</v>
      </c>
      <c r="K192" s="18" t="s">
        <v>95</v>
      </c>
      <c r="L192" s="17">
        <v>41881</v>
      </c>
      <c r="M192" s="18" t="s">
        <v>62</v>
      </c>
      <c r="N192" s="18" t="s">
        <v>96</v>
      </c>
      <c r="O192" s="18" t="s">
        <v>91</v>
      </c>
      <c r="P192" s="18" t="s">
        <v>92</v>
      </c>
      <c r="Q192" s="18" t="s">
        <v>93</v>
      </c>
      <c r="R192" s="18">
        <v>99999</v>
      </c>
      <c r="S192" s="18" t="s">
        <v>30</v>
      </c>
      <c r="T192" s="18" t="s">
        <v>35</v>
      </c>
      <c r="U192" s="18" t="s">
        <v>55</v>
      </c>
      <c r="V192" s="18" t="s">
        <v>37</v>
      </c>
      <c r="W192" s="19">
        <v>46</v>
      </c>
      <c r="X192" s="18">
        <v>28</v>
      </c>
      <c r="Y192" s="19">
        <v>1288</v>
      </c>
      <c r="Z192" s="20">
        <v>133.95200000000003</v>
      </c>
    </row>
    <row r="193" spans="1:26" x14ac:dyDescent="0.25">
      <c r="A193" s="16">
        <v>1223</v>
      </c>
      <c r="B193" s="17">
        <v>41859</v>
      </c>
      <c r="C193" s="18">
        <v>8</v>
      </c>
      <c r="D193" s="18" t="s">
        <v>56</v>
      </c>
      <c r="E193" s="18" t="s">
        <v>57</v>
      </c>
      <c r="F193" s="18" t="s">
        <v>58</v>
      </c>
      <c r="G193" s="18" t="s">
        <v>59</v>
      </c>
      <c r="H193" s="18">
        <v>99999</v>
      </c>
      <c r="I193" s="18" t="s">
        <v>30</v>
      </c>
      <c r="J193" s="18" t="s">
        <v>60</v>
      </c>
      <c r="K193" s="18" t="s">
        <v>61</v>
      </c>
      <c r="L193" s="17">
        <v>41861</v>
      </c>
      <c r="M193" s="18" t="s">
        <v>62</v>
      </c>
      <c r="N193" s="18" t="s">
        <v>63</v>
      </c>
      <c r="O193" s="18" t="s">
        <v>57</v>
      </c>
      <c r="P193" s="18" t="s">
        <v>58</v>
      </c>
      <c r="Q193" s="18" t="s">
        <v>59</v>
      </c>
      <c r="R193" s="18">
        <v>99999</v>
      </c>
      <c r="S193" s="18" t="s">
        <v>30</v>
      </c>
      <c r="T193" s="18" t="s">
        <v>35</v>
      </c>
      <c r="U193" s="18" t="s">
        <v>72</v>
      </c>
      <c r="V193" s="18" t="s">
        <v>73</v>
      </c>
      <c r="W193" s="19">
        <v>12.75</v>
      </c>
      <c r="X193" s="18">
        <v>57</v>
      </c>
      <c r="Y193" s="19">
        <v>726.75</v>
      </c>
      <c r="Z193" s="20">
        <v>69.768000000000001</v>
      </c>
    </row>
    <row r="194" spans="1:26" x14ac:dyDescent="0.25">
      <c r="A194" s="16">
        <v>1224</v>
      </c>
      <c r="B194" s="17">
        <v>41861</v>
      </c>
      <c r="C194" s="18">
        <v>10</v>
      </c>
      <c r="D194" s="18" t="s">
        <v>97</v>
      </c>
      <c r="E194" s="18" t="s">
        <v>98</v>
      </c>
      <c r="F194" s="18" t="s">
        <v>99</v>
      </c>
      <c r="G194" s="18" t="s">
        <v>100</v>
      </c>
      <c r="H194" s="18">
        <v>99999</v>
      </c>
      <c r="I194" s="18" t="s">
        <v>30</v>
      </c>
      <c r="J194" s="18" t="s">
        <v>101</v>
      </c>
      <c r="K194" s="18" t="s">
        <v>45</v>
      </c>
      <c r="L194" s="17">
        <v>41863</v>
      </c>
      <c r="M194" s="18" t="s">
        <v>33</v>
      </c>
      <c r="N194" s="18" t="s">
        <v>102</v>
      </c>
      <c r="O194" s="18" t="s">
        <v>98</v>
      </c>
      <c r="P194" s="18" t="s">
        <v>99</v>
      </c>
      <c r="Q194" s="18" t="s">
        <v>100</v>
      </c>
      <c r="R194" s="18">
        <v>99999</v>
      </c>
      <c r="S194" s="18" t="s">
        <v>30</v>
      </c>
      <c r="T194" s="18" t="s">
        <v>48</v>
      </c>
      <c r="U194" s="18" t="s">
        <v>103</v>
      </c>
      <c r="V194" s="18" t="s">
        <v>37</v>
      </c>
      <c r="W194" s="19">
        <v>2.99</v>
      </c>
      <c r="X194" s="18">
        <v>23</v>
      </c>
      <c r="Y194" s="19">
        <v>68.77000000000001</v>
      </c>
      <c r="Z194" s="20">
        <v>6.6706900000000013</v>
      </c>
    </row>
    <row r="195" spans="1:26" x14ac:dyDescent="0.25">
      <c r="A195" s="16">
        <v>1225</v>
      </c>
      <c r="B195" s="17">
        <v>41858</v>
      </c>
      <c r="C195" s="18">
        <v>7</v>
      </c>
      <c r="D195" s="18" t="s">
        <v>104</v>
      </c>
      <c r="E195" s="18" t="s">
        <v>105</v>
      </c>
      <c r="F195" s="18" t="s">
        <v>106</v>
      </c>
      <c r="G195" s="18" t="s">
        <v>107</v>
      </c>
      <c r="H195" s="18">
        <v>99999</v>
      </c>
      <c r="I195" s="18" t="s">
        <v>30</v>
      </c>
      <c r="J195" s="18" t="s">
        <v>60</v>
      </c>
      <c r="K195" s="18" t="s">
        <v>61</v>
      </c>
      <c r="L195" s="17"/>
      <c r="M195" s="18"/>
      <c r="N195" s="18" t="s">
        <v>108</v>
      </c>
      <c r="O195" s="18" t="s">
        <v>105</v>
      </c>
      <c r="P195" s="18" t="s">
        <v>106</v>
      </c>
      <c r="Q195" s="18" t="s">
        <v>107</v>
      </c>
      <c r="R195" s="18">
        <v>99999</v>
      </c>
      <c r="S195" s="18" t="s">
        <v>30</v>
      </c>
      <c r="T195" s="18"/>
      <c r="U195" s="18" t="s">
        <v>55</v>
      </c>
      <c r="V195" s="18" t="s">
        <v>37</v>
      </c>
      <c r="W195" s="19">
        <v>46</v>
      </c>
      <c r="X195" s="18">
        <v>86</v>
      </c>
      <c r="Y195" s="19">
        <v>3956</v>
      </c>
      <c r="Z195" s="20">
        <v>399.55600000000004</v>
      </c>
    </row>
    <row r="196" spans="1:26" x14ac:dyDescent="0.25">
      <c r="A196" s="16">
        <v>1226</v>
      </c>
      <c r="B196" s="17">
        <v>41861</v>
      </c>
      <c r="C196" s="18">
        <v>10</v>
      </c>
      <c r="D196" s="18" t="s">
        <v>97</v>
      </c>
      <c r="E196" s="18" t="s">
        <v>98</v>
      </c>
      <c r="F196" s="18" t="s">
        <v>99</v>
      </c>
      <c r="G196" s="18" t="s">
        <v>100</v>
      </c>
      <c r="H196" s="18">
        <v>99999</v>
      </c>
      <c r="I196" s="18" t="s">
        <v>30</v>
      </c>
      <c r="J196" s="18" t="s">
        <v>101</v>
      </c>
      <c r="K196" s="18" t="s">
        <v>45</v>
      </c>
      <c r="L196" s="17">
        <v>41863</v>
      </c>
      <c r="M196" s="18" t="s">
        <v>46</v>
      </c>
      <c r="N196" s="18" t="s">
        <v>102</v>
      </c>
      <c r="O196" s="18" t="s">
        <v>98</v>
      </c>
      <c r="P196" s="18" t="s">
        <v>99</v>
      </c>
      <c r="Q196" s="18" t="s">
        <v>100</v>
      </c>
      <c r="R196" s="18">
        <v>99999</v>
      </c>
      <c r="S196" s="18" t="s">
        <v>30</v>
      </c>
      <c r="T196" s="18"/>
      <c r="U196" s="18" t="s">
        <v>109</v>
      </c>
      <c r="V196" s="18" t="s">
        <v>110</v>
      </c>
      <c r="W196" s="19">
        <v>25</v>
      </c>
      <c r="X196" s="18">
        <v>47</v>
      </c>
      <c r="Y196" s="19">
        <v>1175</v>
      </c>
      <c r="Z196" s="20">
        <v>116.325</v>
      </c>
    </row>
    <row r="197" spans="1:26" x14ac:dyDescent="0.25">
      <c r="A197" s="16">
        <v>1227</v>
      </c>
      <c r="B197" s="17">
        <v>41861</v>
      </c>
      <c r="C197" s="18">
        <v>10</v>
      </c>
      <c r="D197" s="18" t="s">
        <v>97</v>
      </c>
      <c r="E197" s="18" t="s">
        <v>98</v>
      </c>
      <c r="F197" s="18" t="s">
        <v>99</v>
      </c>
      <c r="G197" s="18" t="s">
        <v>100</v>
      </c>
      <c r="H197" s="18">
        <v>99999</v>
      </c>
      <c r="I197" s="18" t="s">
        <v>30</v>
      </c>
      <c r="J197" s="18" t="s">
        <v>101</v>
      </c>
      <c r="K197" s="18" t="s">
        <v>45</v>
      </c>
      <c r="L197" s="17">
        <v>41863</v>
      </c>
      <c r="M197" s="18" t="s">
        <v>46</v>
      </c>
      <c r="N197" s="18" t="s">
        <v>102</v>
      </c>
      <c r="O197" s="18" t="s">
        <v>98</v>
      </c>
      <c r="P197" s="18" t="s">
        <v>99</v>
      </c>
      <c r="Q197" s="18" t="s">
        <v>100</v>
      </c>
      <c r="R197" s="18">
        <v>99999</v>
      </c>
      <c r="S197" s="18" t="s">
        <v>30</v>
      </c>
      <c r="T197" s="18"/>
      <c r="U197" s="18" t="s">
        <v>111</v>
      </c>
      <c r="V197" s="18" t="s">
        <v>112</v>
      </c>
      <c r="W197" s="19">
        <v>22</v>
      </c>
      <c r="X197" s="18">
        <v>97</v>
      </c>
      <c r="Y197" s="19">
        <v>2134</v>
      </c>
      <c r="Z197" s="20">
        <v>221.93600000000001</v>
      </c>
    </row>
    <row r="198" spans="1:26" x14ac:dyDescent="0.25">
      <c r="A198" s="16">
        <v>1228</v>
      </c>
      <c r="B198" s="17">
        <v>41861</v>
      </c>
      <c r="C198" s="18">
        <v>10</v>
      </c>
      <c r="D198" s="18" t="s">
        <v>97</v>
      </c>
      <c r="E198" s="18" t="s">
        <v>98</v>
      </c>
      <c r="F198" s="18" t="s">
        <v>99</v>
      </c>
      <c r="G198" s="18" t="s">
        <v>100</v>
      </c>
      <c r="H198" s="18">
        <v>99999</v>
      </c>
      <c r="I198" s="18" t="s">
        <v>30</v>
      </c>
      <c r="J198" s="18" t="s">
        <v>101</v>
      </c>
      <c r="K198" s="18" t="s">
        <v>45</v>
      </c>
      <c r="L198" s="17">
        <v>41863</v>
      </c>
      <c r="M198" s="18" t="s">
        <v>46</v>
      </c>
      <c r="N198" s="18" t="s">
        <v>102</v>
      </c>
      <c r="O198" s="18" t="s">
        <v>98</v>
      </c>
      <c r="P198" s="18" t="s">
        <v>99</v>
      </c>
      <c r="Q198" s="18" t="s">
        <v>100</v>
      </c>
      <c r="R198" s="18">
        <v>99999</v>
      </c>
      <c r="S198" s="18" t="s">
        <v>30</v>
      </c>
      <c r="T198" s="18"/>
      <c r="U198" s="18" t="s">
        <v>64</v>
      </c>
      <c r="V198" s="18" t="s">
        <v>65</v>
      </c>
      <c r="W198" s="19">
        <v>9.1999999999999993</v>
      </c>
      <c r="X198" s="18">
        <v>96</v>
      </c>
      <c r="Y198" s="19">
        <v>883.19999999999993</v>
      </c>
      <c r="Z198" s="20">
        <v>86.553599999999989</v>
      </c>
    </row>
    <row r="199" spans="1:26" x14ac:dyDescent="0.25">
      <c r="A199" s="16">
        <v>1229</v>
      </c>
      <c r="B199" s="17">
        <v>41862</v>
      </c>
      <c r="C199" s="18">
        <v>11</v>
      </c>
      <c r="D199" s="18" t="s">
        <v>113</v>
      </c>
      <c r="E199" s="18" t="s">
        <v>114</v>
      </c>
      <c r="F199" s="18" t="s">
        <v>115</v>
      </c>
      <c r="G199" s="18" t="s">
        <v>116</v>
      </c>
      <c r="H199" s="18">
        <v>99999</v>
      </c>
      <c r="I199" s="18" t="s">
        <v>30</v>
      </c>
      <c r="J199" s="18" t="s">
        <v>94</v>
      </c>
      <c r="K199" s="18" t="s">
        <v>95</v>
      </c>
      <c r="L199" s="17"/>
      <c r="M199" s="18" t="s">
        <v>62</v>
      </c>
      <c r="N199" s="18" t="s">
        <v>117</v>
      </c>
      <c r="O199" s="18" t="s">
        <v>114</v>
      </c>
      <c r="P199" s="18" t="s">
        <v>115</v>
      </c>
      <c r="Q199" s="18" t="s">
        <v>116</v>
      </c>
      <c r="R199" s="18">
        <v>99999</v>
      </c>
      <c r="S199" s="18" t="s">
        <v>30</v>
      </c>
      <c r="T199" s="18"/>
      <c r="U199" s="18" t="s">
        <v>38</v>
      </c>
      <c r="V199" s="18" t="s">
        <v>39</v>
      </c>
      <c r="W199" s="19">
        <v>3.5</v>
      </c>
      <c r="X199" s="18">
        <v>31</v>
      </c>
      <c r="Y199" s="19">
        <v>108.5</v>
      </c>
      <c r="Z199" s="20">
        <v>10.850000000000001</v>
      </c>
    </row>
    <row r="200" spans="1:26" x14ac:dyDescent="0.25">
      <c r="A200" s="16">
        <v>1230</v>
      </c>
      <c r="B200" s="17">
        <v>41862</v>
      </c>
      <c r="C200" s="18">
        <v>11</v>
      </c>
      <c r="D200" s="18" t="s">
        <v>113</v>
      </c>
      <c r="E200" s="18" t="s">
        <v>114</v>
      </c>
      <c r="F200" s="18" t="s">
        <v>115</v>
      </c>
      <c r="G200" s="18" t="s">
        <v>116</v>
      </c>
      <c r="H200" s="18">
        <v>99999</v>
      </c>
      <c r="I200" s="18" t="s">
        <v>30</v>
      </c>
      <c r="J200" s="18" t="s">
        <v>94</v>
      </c>
      <c r="K200" s="18" t="s">
        <v>95</v>
      </c>
      <c r="L200" s="17"/>
      <c r="M200" s="18" t="s">
        <v>62</v>
      </c>
      <c r="N200" s="18" t="s">
        <v>117</v>
      </c>
      <c r="O200" s="18" t="s">
        <v>114</v>
      </c>
      <c r="P200" s="18" t="s">
        <v>115</v>
      </c>
      <c r="Q200" s="18" t="s">
        <v>116</v>
      </c>
      <c r="R200" s="18">
        <v>99999</v>
      </c>
      <c r="S200" s="18" t="s">
        <v>30</v>
      </c>
      <c r="T200" s="18"/>
      <c r="U200" s="18" t="s">
        <v>103</v>
      </c>
      <c r="V200" s="18" t="s">
        <v>37</v>
      </c>
      <c r="W200" s="19">
        <v>2.99</v>
      </c>
      <c r="X200" s="18">
        <v>52</v>
      </c>
      <c r="Y200" s="19">
        <v>155.48000000000002</v>
      </c>
      <c r="Z200" s="20">
        <v>16.014440000000004</v>
      </c>
    </row>
    <row r="201" spans="1:26" x14ac:dyDescent="0.25">
      <c r="A201" s="16">
        <v>1231</v>
      </c>
      <c r="B201" s="17">
        <v>41852</v>
      </c>
      <c r="C201" s="18">
        <v>1</v>
      </c>
      <c r="D201" s="18" t="s">
        <v>118</v>
      </c>
      <c r="E201" s="18" t="s">
        <v>119</v>
      </c>
      <c r="F201" s="18" t="s">
        <v>120</v>
      </c>
      <c r="G201" s="18" t="s">
        <v>121</v>
      </c>
      <c r="H201" s="18">
        <v>99999</v>
      </c>
      <c r="I201" s="18" t="s">
        <v>30</v>
      </c>
      <c r="J201" s="18" t="s">
        <v>60</v>
      </c>
      <c r="K201" s="18" t="s">
        <v>61</v>
      </c>
      <c r="L201" s="17"/>
      <c r="M201" s="18"/>
      <c r="N201" s="18" t="s">
        <v>122</v>
      </c>
      <c r="O201" s="18" t="s">
        <v>119</v>
      </c>
      <c r="P201" s="18" t="s">
        <v>120</v>
      </c>
      <c r="Q201" s="18" t="s">
        <v>121</v>
      </c>
      <c r="R201" s="18">
        <v>99999</v>
      </c>
      <c r="S201" s="18" t="s">
        <v>30</v>
      </c>
      <c r="T201" s="18"/>
      <c r="U201" s="18" t="s">
        <v>54</v>
      </c>
      <c r="V201" s="18" t="s">
        <v>37</v>
      </c>
      <c r="W201" s="19">
        <v>18</v>
      </c>
      <c r="X201" s="18">
        <v>91</v>
      </c>
      <c r="Y201" s="19">
        <v>1638</v>
      </c>
      <c r="Z201" s="20">
        <v>158.886</v>
      </c>
    </row>
    <row r="202" spans="1:26" x14ac:dyDescent="0.25">
      <c r="A202" s="16">
        <v>1232</v>
      </c>
      <c r="B202" s="17">
        <v>41852</v>
      </c>
      <c r="C202" s="18">
        <v>1</v>
      </c>
      <c r="D202" s="18" t="s">
        <v>118</v>
      </c>
      <c r="E202" s="18" t="s">
        <v>119</v>
      </c>
      <c r="F202" s="18" t="s">
        <v>120</v>
      </c>
      <c r="G202" s="18" t="s">
        <v>121</v>
      </c>
      <c r="H202" s="18">
        <v>99999</v>
      </c>
      <c r="I202" s="18" t="s">
        <v>30</v>
      </c>
      <c r="J202" s="18" t="s">
        <v>60</v>
      </c>
      <c r="K202" s="18" t="s">
        <v>61</v>
      </c>
      <c r="L202" s="17"/>
      <c r="M202" s="18"/>
      <c r="N202" s="18" t="s">
        <v>122</v>
      </c>
      <c r="O202" s="18" t="s">
        <v>119</v>
      </c>
      <c r="P202" s="18" t="s">
        <v>120</v>
      </c>
      <c r="Q202" s="18" t="s">
        <v>121</v>
      </c>
      <c r="R202" s="18">
        <v>99999</v>
      </c>
      <c r="S202" s="18" t="s">
        <v>30</v>
      </c>
      <c r="T202" s="18"/>
      <c r="U202" s="18" t="s">
        <v>55</v>
      </c>
      <c r="V202" s="18" t="s">
        <v>37</v>
      </c>
      <c r="W202" s="19">
        <v>46</v>
      </c>
      <c r="X202" s="18">
        <v>14</v>
      </c>
      <c r="Y202" s="19">
        <v>644</v>
      </c>
      <c r="Z202" s="20">
        <v>63.756000000000007</v>
      </c>
    </row>
    <row r="203" spans="1:26" x14ac:dyDescent="0.25">
      <c r="A203" s="16">
        <v>1233</v>
      </c>
      <c r="B203" s="17">
        <v>41852</v>
      </c>
      <c r="C203" s="18">
        <v>1</v>
      </c>
      <c r="D203" s="18" t="s">
        <v>118</v>
      </c>
      <c r="E203" s="18" t="s">
        <v>119</v>
      </c>
      <c r="F203" s="18" t="s">
        <v>120</v>
      </c>
      <c r="G203" s="18" t="s">
        <v>121</v>
      </c>
      <c r="H203" s="18">
        <v>99999</v>
      </c>
      <c r="I203" s="18" t="s">
        <v>30</v>
      </c>
      <c r="J203" s="18" t="s">
        <v>60</v>
      </c>
      <c r="K203" s="18" t="s">
        <v>61</v>
      </c>
      <c r="L203" s="17"/>
      <c r="M203" s="18"/>
      <c r="N203" s="18" t="s">
        <v>122</v>
      </c>
      <c r="O203" s="18" t="s">
        <v>119</v>
      </c>
      <c r="P203" s="18" t="s">
        <v>120</v>
      </c>
      <c r="Q203" s="18" t="s">
        <v>121</v>
      </c>
      <c r="R203" s="18">
        <v>99999</v>
      </c>
      <c r="S203" s="18" t="s">
        <v>30</v>
      </c>
      <c r="T203" s="18"/>
      <c r="U203" s="18" t="s">
        <v>103</v>
      </c>
      <c r="V203" s="18" t="s">
        <v>37</v>
      </c>
      <c r="W203" s="19">
        <v>2.99</v>
      </c>
      <c r="X203" s="18">
        <v>44</v>
      </c>
      <c r="Y203" s="19">
        <v>131.56</v>
      </c>
      <c r="Z203" s="20">
        <v>13.287560000000001</v>
      </c>
    </row>
    <row r="204" spans="1:26" x14ac:dyDescent="0.25">
      <c r="A204" s="16">
        <v>1234</v>
      </c>
      <c r="B204" s="17">
        <v>41879</v>
      </c>
      <c r="C204" s="18">
        <v>28</v>
      </c>
      <c r="D204" s="18" t="s">
        <v>90</v>
      </c>
      <c r="E204" s="18" t="s">
        <v>91</v>
      </c>
      <c r="F204" s="18" t="s">
        <v>92</v>
      </c>
      <c r="G204" s="18" t="s">
        <v>93</v>
      </c>
      <c r="H204" s="18">
        <v>99999</v>
      </c>
      <c r="I204" s="18" t="s">
        <v>30</v>
      </c>
      <c r="J204" s="18" t="s">
        <v>94</v>
      </c>
      <c r="K204" s="18" t="s">
        <v>95</v>
      </c>
      <c r="L204" s="17">
        <v>41881</v>
      </c>
      <c r="M204" s="18" t="s">
        <v>62</v>
      </c>
      <c r="N204" s="18" t="s">
        <v>96</v>
      </c>
      <c r="O204" s="18" t="s">
        <v>91</v>
      </c>
      <c r="P204" s="18" t="s">
        <v>92</v>
      </c>
      <c r="Q204" s="18" t="s">
        <v>93</v>
      </c>
      <c r="R204" s="18">
        <v>99999</v>
      </c>
      <c r="S204" s="18" t="s">
        <v>30</v>
      </c>
      <c r="T204" s="18" t="s">
        <v>48</v>
      </c>
      <c r="U204" s="18" t="s">
        <v>80</v>
      </c>
      <c r="V204" s="18" t="s">
        <v>81</v>
      </c>
      <c r="W204" s="19">
        <v>9.65</v>
      </c>
      <c r="X204" s="18">
        <v>97</v>
      </c>
      <c r="Y204" s="19">
        <v>936.05000000000007</v>
      </c>
      <c r="Z204" s="20">
        <v>95.477100000000021</v>
      </c>
    </row>
    <row r="205" spans="1:26" x14ac:dyDescent="0.25">
      <c r="A205" s="16">
        <v>1235</v>
      </c>
      <c r="B205" s="17">
        <v>41879</v>
      </c>
      <c r="C205" s="18">
        <v>28</v>
      </c>
      <c r="D205" s="18" t="s">
        <v>90</v>
      </c>
      <c r="E205" s="18" t="s">
        <v>91</v>
      </c>
      <c r="F205" s="18" t="s">
        <v>92</v>
      </c>
      <c r="G205" s="18" t="s">
        <v>93</v>
      </c>
      <c r="H205" s="18">
        <v>99999</v>
      </c>
      <c r="I205" s="18" t="s">
        <v>30</v>
      </c>
      <c r="J205" s="18" t="s">
        <v>94</v>
      </c>
      <c r="K205" s="18" t="s">
        <v>95</v>
      </c>
      <c r="L205" s="17">
        <v>41881</v>
      </c>
      <c r="M205" s="18" t="s">
        <v>62</v>
      </c>
      <c r="N205" s="18" t="s">
        <v>96</v>
      </c>
      <c r="O205" s="18" t="s">
        <v>91</v>
      </c>
      <c r="P205" s="18" t="s">
        <v>92</v>
      </c>
      <c r="Q205" s="18" t="s">
        <v>93</v>
      </c>
      <c r="R205" s="18">
        <v>99999</v>
      </c>
      <c r="S205" s="18" t="s">
        <v>30</v>
      </c>
      <c r="T205" s="18" t="s">
        <v>48</v>
      </c>
      <c r="U205" s="18" t="s">
        <v>123</v>
      </c>
      <c r="V205" s="18" t="s">
        <v>124</v>
      </c>
      <c r="W205" s="19">
        <v>18.399999999999999</v>
      </c>
      <c r="X205" s="18">
        <v>80</v>
      </c>
      <c r="Y205" s="19">
        <v>1472</v>
      </c>
      <c r="Z205" s="20">
        <v>150.14400000000003</v>
      </c>
    </row>
    <row r="206" spans="1:26" x14ac:dyDescent="0.25">
      <c r="A206" s="16">
        <v>1236</v>
      </c>
      <c r="B206" s="17">
        <v>41860</v>
      </c>
      <c r="C206" s="18">
        <v>9</v>
      </c>
      <c r="D206" s="18" t="s">
        <v>125</v>
      </c>
      <c r="E206" s="18" t="s">
        <v>126</v>
      </c>
      <c r="F206" s="18" t="s">
        <v>127</v>
      </c>
      <c r="G206" s="18" t="s">
        <v>128</v>
      </c>
      <c r="H206" s="18">
        <v>99999</v>
      </c>
      <c r="I206" s="18" t="s">
        <v>30</v>
      </c>
      <c r="J206" s="18" t="s">
        <v>129</v>
      </c>
      <c r="K206" s="18" t="s">
        <v>32</v>
      </c>
      <c r="L206" s="17">
        <v>41862</v>
      </c>
      <c r="M206" s="18" t="s">
        <v>46</v>
      </c>
      <c r="N206" s="18" t="s">
        <v>130</v>
      </c>
      <c r="O206" s="18" t="s">
        <v>126</v>
      </c>
      <c r="P206" s="18" t="s">
        <v>127</v>
      </c>
      <c r="Q206" s="18" t="s">
        <v>128</v>
      </c>
      <c r="R206" s="18">
        <v>99999</v>
      </c>
      <c r="S206" s="18" t="s">
        <v>30</v>
      </c>
      <c r="T206" s="18" t="s">
        <v>35</v>
      </c>
      <c r="U206" s="18" t="s">
        <v>131</v>
      </c>
      <c r="V206" s="18" t="s">
        <v>132</v>
      </c>
      <c r="W206" s="19">
        <v>19.5</v>
      </c>
      <c r="X206" s="18">
        <v>66</v>
      </c>
      <c r="Y206" s="19">
        <v>1287</v>
      </c>
      <c r="Z206" s="20">
        <v>132.56100000000001</v>
      </c>
    </row>
    <row r="207" spans="1:26" x14ac:dyDescent="0.25">
      <c r="A207" s="16">
        <v>1237</v>
      </c>
      <c r="B207" s="17">
        <v>41860</v>
      </c>
      <c r="C207" s="18">
        <v>9</v>
      </c>
      <c r="D207" s="18" t="s">
        <v>125</v>
      </c>
      <c r="E207" s="18" t="s">
        <v>126</v>
      </c>
      <c r="F207" s="18" t="s">
        <v>127</v>
      </c>
      <c r="G207" s="18" t="s">
        <v>128</v>
      </c>
      <c r="H207" s="18">
        <v>99999</v>
      </c>
      <c r="I207" s="18" t="s">
        <v>30</v>
      </c>
      <c r="J207" s="18" t="s">
        <v>129</v>
      </c>
      <c r="K207" s="18" t="s">
        <v>32</v>
      </c>
      <c r="L207" s="17">
        <v>41862</v>
      </c>
      <c r="M207" s="18" t="s">
        <v>46</v>
      </c>
      <c r="N207" s="18" t="s">
        <v>130</v>
      </c>
      <c r="O207" s="18" t="s">
        <v>126</v>
      </c>
      <c r="P207" s="18" t="s">
        <v>127</v>
      </c>
      <c r="Q207" s="18" t="s">
        <v>128</v>
      </c>
      <c r="R207" s="18">
        <v>99999</v>
      </c>
      <c r="S207" s="18" t="s">
        <v>30</v>
      </c>
      <c r="T207" s="18" t="s">
        <v>35</v>
      </c>
      <c r="U207" s="18" t="s">
        <v>133</v>
      </c>
      <c r="V207" s="18" t="s">
        <v>134</v>
      </c>
      <c r="W207" s="19">
        <v>34.799999999999997</v>
      </c>
      <c r="X207" s="18">
        <v>32</v>
      </c>
      <c r="Y207" s="19">
        <v>1113.5999999999999</v>
      </c>
      <c r="Z207" s="20">
        <v>111.36</v>
      </c>
    </row>
    <row r="208" spans="1:26" x14ac:dyDescent="0.25">
      <c r="A208" s="16">
        <v>1238</v>
      </c>
      <c r="B208" s="17">
        <v>41857</v>
      </c>
      <c r="C208" s="18">
        <v>6</v>
      </c>
      <c r="D208" s="18" t="s">
        <v>82</v>
      </c>
      <c r="E208" s="18" t="s">
        <v>83</v>
      </c>
      <c r="F208" s="18" t="s">
        <v>84</v>
      </c>
      <c r="G208" s="18" t="s">
        <v>85</v>
      </c>
      <c r="H208" s="18">
        <v>99999</v>
      </c>
      <c r="I208" s="18" t="s">
        <v>30</v>
      </c>
      <c r="J208" s="18" t="s">
        <v>86</v>
      </c>
      <c r="K208" s="18" t="s">
        <v>61</v>
      </c>
      <c r="L208" s="17">
        <v>41859</v>
      </c>
      <c r="M208" s="18" t="s">
        <v>33</v>
      </c>
      <c r="N208" s="18" t="s">
        <v>87</v>
      </c>
      <c r="O208" s="18" t="s">
        <v>83</v>
      </c>
      <c r="P208" s="18" t="s">
        <v>84</v>
      </c>
      <c r="Q208" s="18" t="s">
        <v>85</v>
      </c>
      <c r="R208" s="18">
        <v>99999</v>
      </c>
      <c r="S208" s="18" t="s">
        <v>30</v>
      </c>
      <c r="T208" s="18" t="s">
        <v>48</v>
      </c>
      <c r="U208" s="18" t="s">
        <v>36</v>
      </c>
      <c r="V208" s="18" t="s">
        <v>37</v>
      </c>
      <c r="W208" s="19">
        <v>14</v>
      </c>
      <c r="X208" s="18">
        <v>52</v>
      </c>
      <c r="Y208" s="19">
        <v>728</v>
      </c>
      <c r="Z208" s="20">
        <v>72.8</v>
      </c>
    </row>
    <row r="209" spans="1:26" x14ac:dyDescent="0.25">
      <c r="A209" s="16">
        <v>1239</v>
      </c>
      <c r="B209" s="17">
        <v>41859</v>
      </c>
      <c r="C209" s="18">
        <v>8</v>
      </c>
      <c r="D209" s="18" t="s">
        <v>56</v>
      </c>
      <c r="E209" s="18" t="s">
        <v>57</v>
      </c>
      <c r="F209" s="18" t="s">
        <v>58</v>
      </c>
      <c r="G209" s="18" t="s">
        <v>59</v>
      </c>
      <c r="H209" s="18">
        <v>99999</v>
      </c>
      <c r="I209" s="18" t="s">
        <v>30</v>
      </c>
      <c r="J209" s="18" t="s">
        <v>60</v>
      </c>
      <c r="K209" s="18" t="s">
        <v>61</v>
      </c>
      <c r="L209" s="17">
        <v>41861</v>
      </c>
      <c r="M209" s="18" t="s">
        <v>33</v>
      </c>
      <c r="N209" s="18" t="s">
        <v>63</v>
      </c>
      <c r="O209" s="18" t="s">
        <v>57</v>
      </c>
      <c r="P209" s="18" t="s">
        <v>58</v>
      </c>
      <c r="Q209" s="18" t="s">
        <v>59</v>
      </c>
      <c r="R209" s="18">
        <v>99999</v>
      </c>
      <c r="S209" s="18" t="s">
        <v>30</v>
      </c>
      <c r="T209" s="18" t="s">
        <v>35</v>
      </c>
      <c r="U209" s="18" t="s">
        <v>88</v>
      </c>
      <c r="V209" s="18" t="s">
        <v>89</v>
      </c>
      <c r="W209" s="19">
        <v>40</v>
      </c>
      <c r="X209" s="18">
        <v>78</v>
      </c>
      <c r="Y209" s="19">
        <v>3120</v>
      </c>
      <c r="Z209" s="20">
        <v>318.24</v>
      </c>
    </row>
    <row r="210" spans="1:26" x14ac:dyDescent="0.25">
      <c r="A210" s="16">
        <v>1240</v>
      </c>
      <c r="B210" s="17">
        <v>41859</v>
      </c>
      <c r="C210" s="18">
        <v>8</v>
      </c>
      <c r="D210" s="18" t="s">
        <v>56</v>
      </c>
      <c r="E210" s="18" t="s">
        <v>57</v>
      </c>
      <c r="F210" s="18" t="s">
        <v>58</v>
      </c>
      <c r="G210" s="18" t="s">
        <v>59</v>
      </c>
      <c r="H210" s="18">
        <v>99999</v>
      </c>
      <c r="I210" s="18" t="s">
        <v>30</v>
      </c>
      <c r="J210" s="18" t="s">
        <v>60</v>
      </c>
      <c r="K210" s="18" t="s">
        <v>61</v>
      </c>
      <c r="L210" s="17">
        <v>41861</v>
      </c>
      <c r="M210" s="18" t="s">
        <v>33</v>
      </c>
      <c r="N210" s="18" t="s">
        <v>63</v>
      </c>
      <c r="O210" s="18" t="s">
        <v>57</v>
      </c>
      <c r="P210" s="18" t="s">
        <v>58</v>
      </c>
      <c r="Q210" s="18" t="s">
        <v>59</v>
      </c>
      <c r="R210" s="18">
        <v>99999</v>
      </c>
      <c r="S210" s="18" t="s">
        <v>30</v>
      </c>
      <c r="T210" s="18" t="s">
        <v>35</v>
      </c>
      <c r="U210" s="18" t="s">
        <v>64</v>
      </c>
      <c r="V210" s="18" t="s">
        <v>65</v>
      </c>
      <c r="W210" s="19">
        <v>9.1999999999999993</v>
      </c>
      <c r="X210" s="18">
        <v>54</v>
      </c>
      <c r="Y210" s="19">
        <v>496.79999999999995</v>
      </c>
      <c r="Z210" s="20">
        <v>49.183199999999999</v>
      </c>
    </row>
    <row r="211" spans="1:26" x14ac:dyDescent="0.25">
      <c r="A211" s="16">
        <v>1241</v>
      </c>
      <c r="B211" s="17">
        <v>41876</v>
      </c>
      <c r="C211" s="18">
        <v>25</v>
      </c>
      <c r="D211" s="18" t="s">
        <v>137</v>
      </c>
      <c r="E211" s="18" t="s">
        <v>138</v>
      </c>
      <c r="F211" s="18" t="s">
        <v>99</v>
      </c>
      <c r="G211" s="18" t="s">
        <v>100</v>
      </c>
      <c r="H211" s="18">
        <v>99999</v>
      </c>
      <c r="I211" s="18" t="s">
        <v>30</v>
      </c>
      <c r="J211" s="18" t="s">
        <v>101</v>
      </c>
      <c r="K211" s="18" t="s">
        <v>45</v>
      </c>
      <c r="L211" s="17">
        <v>41878</v>
      </c>
      <c r="M211" s="18" t="s">
        <v>46</v>
      </c>
      <c r="N211" s="18" t="s">
        <v>139</v>
      </c>
      <c r="O211" s="18" t="s">
        <v>138</v>
      </c>
      <c r="P211" s="18" t="s">
        <v>99</v>
      </c>
      <c r="Q211" s="18" t="s">
        <v>100</v>
      </c>
      <c r="R211" s="18">
        <v>99999</v>
      </c>
      <c r="S211" s="18" t="s">
        <v>30</v>
      </c>
      <c r="T211" s="18" t="s">
        <v>79</v>
      </c>
      <c r="U211" s="18" t="s">
        <v>146</v>
      </c>
      <c r="V211" s="18" t="s">
        <v>65</v>
      </c>
      <c r="W211" s="19">
        <v>10</v>
      </c>
      <c r="X211" s="18">
        <v>55</v>
      </c>
      <c r="Y211" s="19">
        <v>550</v>
      </c>
      <c r="Z211" s="20">
        <v>52.25</v>
      </c>
    </row>
    <row r="212" spans="1:26" x14ac:dyDescent="0.25">
      <c r="A212" s="16">
        <v>1242</v>
      </c>
      <c r="B212" s="17">
        <v>41877</v>
      </c>
      <c r="C212" s="18">
        <v>26</v>
      </c>
      <c r="D212" s="18" t="s">
        <v>140</v>
      </c>
      <c r="E212" s="18" t="s">
        <v>141</v>
      </c>
      <c r="F212" s="18" t="s">
        <v>115</v>
      </c>
      <c r="G212" s="18" t="s">
        <v>116</v>
      </c>
      <c r="H212" s="18">
        <v>99999</v>
      </c>
      <c r="I212" s="18" t="s">
        <v>30</v>
      </c>
      <c r="J212" s="18" t="s">
        <v>94</v>
      </c>
      <c r="K212" s="18" t="s">
        <v>95</v>
      </c>
      <c r="L212" s="17">
        <v>41879</v>
      </c>
      <c r="M212" s="18" t="s">
        <v>62</v>
      </c>
      <c r="N212" s="18" t="s">
        <v>142</v>
      </c>
      <c r="O212" s="18" t="s">
        <v>141</v>
      </c>
      <c r="P212" s="18" t="s">
        <v>115</v>
      </c>
      <c r="Q212" s="18" t="s">
        <v>116</v>
      </c>
      <c r="R212" s="18">
        <v>99999</v>
      </c>
      <c r="S212" s="18" t="s">
        <v>30</v>
      </c>
      <c r="T212" s="18" t="s">
        <v>48</v>
      </c>
      <c r="U212" s="18" t="s">
        <v>147</v>
      </c>
      <c r="V212" s="18" t="s">
        <v>148</v>
      </c>
      <c r="W212" s="19">
        <v>21.35</v>
      </c>
      <c r="X212" s="18">
        <v>60</v>
      </c>
      <c r="Y212" s="19">
        <v>1281</v>
      </c>
      <c r="Z212" s="20">
        <v>129.381</v>
      </c>
    </row>
    <row r="213" spans="1:26" x14ac:dyDescent="0.25">
      <c r="A213" s="16">
        <v>1243</v>
      </c>
      <c r="B213" s="17">
        <v>41877</v>
      </c>
      <c r="C213" s="18">
        <v>26</v>
      </c>
      <c r="D213" s="18" t="s">
        <v>140</v>
      </c>
      <c r="E213" s="18" t="s">
        <v>141</v>
      </c>
      <c r="F213" s="18" t="s">
        <v>115</v>
      </c>
      <c r="G213" s="18" t="s">
        <v>116</v>
      </c>
      <c r="H213" s="18">
        <v>99999</v>
      </c>
      <c r="I213" s="18" t="s">
        <v>30</v>
      </c>
      <c r="J213" s="18" t="s">
        <v>94</v>
      </c>
      <c r="K213" s="18" t="s">
        <v>95</v>
      </c>
      <c r="L213" s="17">
        <v>41879</v>
      </c>
      <c r="M213" s="18" t="s">
        <v>62</v>
      </c>
      <c r="N213" s="18" t="s">
        <v>142</v>
      </c>
      <c r="O213" s="18" t="s">
        <v>141</v>
      </c>
      <c r="P213" s="18" t="s">
        <v>115</v>
      </c>
      <c r="Q213" s="18" t="s">
        <v>116</v>
      </c>
      <c r="R213" s="18">
        <v>99999</v>
      </c>
      <c r="S213" s="18" t="s">
        <v>30</v>
      </c>
      <c r="T213" s="18" t="s">
        <v>48</v>
      </c>
      <c r="U213" s="18" t="s">
        <v>80</v>
      </c>
      <c r="V213" s="18" t="s">
        <v>81</v>
      </c>
      <c r="W213" s="19">
        <v>9.65</v>
      </c>
      <c r="X213" s="18">
        <v>19</v>
      </c>
      <c r="Y213" s="19">
        <v>183.35</v>
      </c>
      <c r="Z213" s="20">
        <v>17.41825</v>
      </c>
    </row>
    <row r="214" spans="1:26" x14ac:dyDescent="0.25">
      <c r="A214" s="16">
        <v>1244</v>
      </c>
      <c r="B214" s="17">
        <v>41877</v>
      </c>
      <c r="C214" s="18">
        <v>26</v>
      </c>
      <c r="D214" s="18" t="s">
        <v>140</v>
      </c>
      <c r="E214" s="18" t="s">
        <v>141</v>
      </c>
      <c r="F214" s="18" t="s">
        <v>115</v>
      </c>
      <c r="G214" s="18" t="s">
        <v>116</v>
      </c>
      <c r="H214" s="18">
        <v>99999</v>
      </c>
      <c r="I214" s="18" t="s">
        <v>30</v>
      </c>
      <c r="J214" s="18" t="s">
        <v>94</v>
      </c>
      <c r="K214" s="18" t="s">
        <v>95</v>
      </c>
      <c r="L214" s="17">
        <v>41879</v>
      </c>
      <c r="M214" s="18" t="s">
        <v>62</v>
      </c>
      <c r="N214" s="18" t="s">
        <v>142</v>
      </c>
      <c r="O214" s="18" t="s">
        <v>141</v>
      </c>
      <c r="P214" s="18" t="s">
        <v>115</v>
      </c>
      <c r="Q214" s="18" t="s">
        <v>116</v>
      </c>
      <c r="R214" s="18">
        <v>99999</v>
      </c>
      <c r="S214" s="18" t="s">
        <v>30</v>
      </c>
      <c r="T214" s="18" t="s">
        <v>48</v>
      </c>
      <c r="U214" s="18" t="s">
        <v>123</v>
      </c>
      <c r="V214" s="18" t="s">
        <v>124</v>
      </c>
      <c r="W214" s="19">
        <v>18.399999999999999</v>
      </c>
      <c r="X214" s="18">
        <v>66</v>
      </c>
      <c r="Y214" s="19">
        <v>1214.3999999999999</v>
      </c>
      <c r="Z214" s="20">
        <v>125.08320000000001</v>
      </c>
    </row>
    <row r="215" spans="1:26" x14ac:dyDescent="0.25">
      <c r="A215" s="16">
        <v>1245</v>
      </c>
      <c r="B215" s="17">
        <v>41880</v>
      </c>
      <c r="C215" s="18">
        <v>29</v>
      </c>
      <c r="D215" s="18" t="s">
        <v>66</v>
      </c>
      <c r="E215" s="18" t="s">
        <v>67</v>
      </c>
      <c r="F215" s="18" t="s">
        <v>68</v>
      </c>
      <c r="G215" s="18" t="s">
        <v>69</v>
      </c>
      <c r="H215" s="18">
        <v>99999</v>
      </c>
      <c r="I215" s="18" t="s">
        <v>30</v>
      </c>
      <c r="J215" s="18" t="s">
        <v>70</v>
      </c>
      <c r="K215" s="18" t="s">
        <v>32</v>
      </c>
      <c r="L215" s="17">
        <v>41882</v>
      </c>
      <c r="M215" s="18" t="s">
        <v>33</v>
      </c>
      <c r="N215" s="18" t="s">
        <v>71</v>
      </c>
      <c r="O215" s="18" t="s">
        <v>67</v>
      </c>
      <c r="P215" s="18" t="s">
        <v>68</v>
      </c>
      <c r="Q215" s="18" t="s">
        <v>69</v>
      </c>
      <c r="R215" s="18">
        <v>99999</v>
      </c>
      <c r="S215" s="18" t="s">
        <v>30</v>
      </c>
      <c r="T215" s="18" t="s">
        <v>35</v>
      </c>
      <c r="U215" s="18" t="s">
        <v>36</v>
      </c>
      <c r="V215" s="18" t="s">
        <v>37</v>
      </c>
      <c r="W215" s="19">
        <v>14</v>
      </c>
      <c r="X215" s="18">
        <v>42</v>
      </c>
      <c r="Y215" s="19">
        <v>588</v>
      </c>
      <c r="Z215" s="20">
        <v>59.388000000000005</v>
      </c>
    </row>
    <row r="216" spans="1:26" x14ac:dyDescent="0.25">
      <c r="A216" s="16">
        <v>1246</v>
      </c>
      <c r="B216" s="17">
        <v>41857</v>
      </c>
      <c r="C216" s="18">
        <v>6</v>
      </c>
      <c r="D216" s="18" t="s">
        <v>82</v>
      </c>
      <c r="E216" s="18" t="s">
        <v>83</v>
      </c>
      <c r="F216" s="18" t="s">
        <v>84</v>
      </c>
      <c r="G216" s="18" t="s">
        <v>85</v>
      </c>
      <c r="H216" s="18">
        <v>99999</v>
      </c>
      <c r="I216" s="18" t="s">
        <v>30</v>
      </c>
      <c r="J216" s="18" t="s">
        <v>86</v>
      </c>
      <c r="K216" s="18" t="s">
        <v>61</v>
      </c>
      <c r="L216" s="18">
        <v>41859</v>
      </c>
      <c r="M216" s="18" t="s">
        <v>62</v>
      </c>
      <c r="N216" s="18" t="s">
        <v>87</v>
      </c>
      <c r="O216" s="18" t="s">
        <v>83</v>
      </c>
      <c r="P216" s="18" t="s">
        <v>84</v>
      </c>
      <c r="Q216" s="18" t="s">
        <v>85</v>
      </c>
      <c r="R216" s="18">
        <v>99999</v>
      </c>
      <c r="S216" s="18" t="s">
        <v>30</v>
      </c>
      <c r="T216" s="18" t="s">
        <v>35</v>
      </c>
      <c r="U216" s="18" t="s">
        <v>72</v>
      </c>
      <c r="V216" s="18" t="s">
        <v>73</v>
      </c>
      <c r="W216" s="19">
        <v>12.75</v>
      </c>
      <c r="X216" s="18">
        <v>72</v>
      </c>
      <c r="Y216" s="19">
        <v>918</v>
      </c>
      <c r="Z216" s="20">
        <v>89.046000000000006</v>
      </c>
    </row>
    <row r="217" spans="1:26" x14ac:dyDescent="0.25">
      <c r="A217" s="16">
        <v>1248</v>
      </c>
      <c r="B217" s="17">
        <v>41855</v>
      </c>
      <c r="C217" s="18">
        <v>4</v>
      </c>
      <c r="D217" s="18" t="s">
        <v>40</v>
      </c>
      <c r="E217" s="18" t="s">
        <v>41</v>
      </c>
      <c r="F217" s="18" t="s">
        <v>42</v>
      </c>
      <c r="G217" s="18" t="s">
        <v>43</v>
      </c>
      <c r="H217" s="18">
        <v>99999</v>
      </c>
      <c r="I217" s="18" t="s">
        <v>30</v>
      </c>
      <c r="J217" s="18" t="s">
        <v>44</v>
      </c>
      <c r="K217" s="18" t="s">
        <v>45</v>
      </c>
      <c r="L217" s="18">
        <v>41857</v>
      </c>
      <c r="M217" s="18" t="s">
        <v>46</v>
      </c>
      <c r="N217" s="18" t="s">
        <v>47</v>
      </c>
      <c r="O217" s="18" t="s">
        <v>41</v>
      </c>
      <c r="P217" s="18" t="s">
        <v>42</v>
      </c>
      <c r="Q217" s="18" t="s">
        <v>43</v>
      </c>
      <c r="R217" s="18">
        <v>99999</v>
      </c>
      <c r="S217" s="18" t="s">
        <v>30</v>
      </c>
      <c r="T217" s="18" t="s">
        <v>48</v>
      </c>
      <c r="U217" s="18" t="s">
        <v>149</v>
      </c>
      <c r="V217" s="18" t="s">
        <v>110</v>
      </c>
      <c r="W217" s="19">
        <v>81</v>
      </c>
      <c r="X217" s="18">
        <v>32</v>
      </c>
      <c r="Y217" s="19">
        <v>2592</v>
      </c>
      <c r="Z217" s="20">
        <v>251.42399999999998</v>
      </c>
    </row>
    <row r="218" spans="1:26" x14ac:dyDescent="0.25">
      <c r="A218" s="16">
        <v>1249</v>
      </c>
      <c r="B218" s="17">
        <v>41855</v>
      </c>
      <c r="C218" s="18">
        <v>4</v>
      </c>
      <c r="D218" s="18" t="s">
        <v>40</v>
      </c>
      <c r="E218" s="18" t="s">
        <v>41</v>
      </c>
      <c r="F218" s="18" t="s">
        <v>42</v>
      </c>
      <c r="G218" s="18" t="s">
        <v>43</v>
      </c>
      <c r="H218" s="18">
        <v>99999</v>
      </c>
      <c r="I218" s="18" t="s">
        <v>30</v>
      </c>
      <c r="J218" s="18" t="s">
        <v>44</v>
      </c>
      <c r="K218" s="18" t="s">
        <v>45</v>
      </c>
      <c r="L218" s="18">
        <v>41857</v>
      </c>
      <c r="M218" s="18" t="s">
        <v>46</v>
      </c>
      <c r="N218" s="18" t="s">
        <v>47</v>
      </c>
      <c r="O218" s="18" t="s">
        <v>41</v>
      </c>
      <c r="P218" s="18" t="s">
        <v>42</v>
      </c>
      <c r="Q218" s="18" t="s">
        <v>43</v>
      </c>
      <c r="R218" s="18">
        <v>99999</v>
      </c>
      <c r="S218" s="18" t="s">
        <v>30</v>
      </c>
      <c r="T218" s="18" t="s">
        <v>48</v>
      </c>
      <c r="U218" s="18" t="s">
        <v>150</v>
      </c>
      <c r="V218" s="18" t="s">
        <v>151</v>
      </c>
      <c r="W218" s="19">
        <v>7</v>
      </c>
      <c r="X218" s="18">
        <v>76</v>
      </c>
      <c r="Y218" s="19">
        <v>532</v>
      </c>
      <c r="Z218" s="20">
        <v>53.732000000000006</v>
      </c>
    </row>
    <row r="219" spans="1:26" x14ac:dyDescent="0.25">
      <c r="A219" s="16">
        <v>1250</v>
      </c>
      <c r="B219" s="17">
        <v>41892</v>
      </c>
      <c r="C219" s="18">
        <v>10</v>
      </c>
      <c r="D219" s="18" t="s">
        <v>97</v>
      </c>
      <c r="E219" s="18" t="s">
        <v>98</v>
      </c>
      <c r="F219" s="18" t="s">
        <v>99</v>
      </c>
      <c r="G219" s="18" t="s">
        <v>100</v>
      </c>
      <c r="H219" s="18">
        <v>99999</v>
      </c>
      <c r="I219" s="18" t="s">
        <v>30</v>
      </c>
      <c r="J219" s="18" t="s">
        <v>101</v>
      </c>
      <c r="K219" s="18" t="s">
        <v>45</v>
      </c>
      <c r="L219" s="18">
        <v>41894</v>
      </c>
      <c r="M219" s="18" t="s">
        <v>46</v>
      </c>
      <c r="N219" s="18" t="s">
        <v>102</v>
      </c>
      <c r="O219" s="18" t="s">
        <v>98</v>
      </c>
      <c r="P219" s="18" t="s">
        <v>99</v>
      </c>
      <c r="Q219" s="18" t="s">
        <v>100</v>
      </c>
      <c r="R219" s="18">
        <v>99999</v>
      </c>
      <c r="S219" s="18" t="s">
        <v>30</v>
      </c>
      <c r="T219" s="18"/>
      <c r="U219" s="18" t="s">
        <v>64</v>
      </c>
      <c r="V219" s="18" t="s">
        <v>65</v>
      </c>
      <c r="W219" s="19">
        <v>9.1999999999999993</v>
      </c>
      <c r="X219" s="18">
        <v>83</v>
      </c>
      <c r="Y219" s="19">
        <v>763.59999999999991</v>
      </c>
      <c r="Z219" s="20">
        <v>74.832799999999992</v>
      </c>
    </row>
    <row r="220" spans="1:26" x14ac:dyDescent="0.25">
      <c r="A220" s="16">
        <v>1251</v>
      </c>
      <c r="B220" s="17">
        <v>41893</v>
      </c>
      <c r="C220" s="18">
        <v>11</v>
      </c>
      <c r="D220" s="18" t="s">
        <v>113</v>
      </c>
      <c r="E220" s="18" t="s">
        <v>114</v>
      </c>
      <c r="F220" s="18" t="s">
        <v>115</v>
      </c>
      <c r="G220" s="18" t="s">
        <v>116</v>
      </c>
      <c r="H220" s="18">
        <v>99999</v>
      </c>
      <c r="I220" s="18" t="s">
        <v>30</v>
      </c>
      <c r="J220" s="18" t="s">
        <v>94</v>
      </c>
      <c r="K220" s="18" t="s">
        <v>95</v>
      </c>
      <c r="L220" s="17"/>
      <c r="M220" s="18" t="s">
        <v>62</v>
      </c>
      <c r="N220" s="18" t="s">
        <v>117</v>
      </c>
      <c r="O220" s="18" t="s">
        <v>114</v>
      </c>
      <c r="P220" s="18" t="s">
        <v>115</v>
      </c>
      <c r="Q220" s="18" t="s">
        <v>116</v>
      </c>
      <c r="R220" s="18">
        <v>99999</v>
      </c>
      <c r="S220" s="18" t="s">
        <v>30</v>
      </c>
      <c r="T220" s="18"/>
      <c r="U220" s="18" t="s">
        <v>38</v>
      </c>
      <c r="V220" s="18" t="s">
        <v>39</v>
      </c>
      <c r="W220" s="19">
        <v>3.5</v>
      </c>
      <c r="X220" s="18">
        <v>91</v>
      </c>
      <c r="Y220" s="19">
        <v>318.5</v>
      </c>
      <c r="Z220" s="20">
        <v>31.213000000000001</v>
      </c>
    </row>
    <row r="221" spans="1:26" x14ac:dyDescent="0.25">
      <c r="A221" s="16">
        <v>1252</v>
      </c>
      <c r="B221" s="17">
        <v>41893</v>
      </c>
      <c r="C221" s="18">
        <v>11</v>
      </c>
      <c r="D221" s="18" t="s">
        <v>113</v>
      </c>
      <c r="E221" s="18" t="s">
        <v>114</v>
      </c>
      <c r="F221" s="18" t="s">
        <v>115</v>
      </c>
      <c r="G221" s="18" t="s">
        <v>116</v>
      </c>
      <c r="H221" s="18">
        <v>99999</v>
      </c>
      <c r="I221" s="18" t="s">
        <v>30</v>
      </c>
      <c r="J221" s="18" t="s">
        <v>94</v>
      </c>
      <c r="K221" s="18" t="s">
        <v>95</v>
      </c>
      <c r="L221" s="17"/>
      <c r="M221" s="18" t="s">
        <v>62</v>
      </c>
      <c r="N221" s="18" t="s">
        <v>117</v>
      </c>
      <c r="O221" s="18" t="s">
        <v>114</v>
      </c>
      <c r="P221" s="18" t="s">
        <v>115</v>
      </c>
      <c r="Q221" s="18" t="s">
        <v>116</v>
      </c>
      <c r="R221" s="18">
        <v>99999</v>
      </c>
      <c r="S221" s="18" t="s">
        <v>30</v>
      </c>
      <c r="T221" s="18"/>
      <c r="U221" s="18" t="s">
        <v>103</v>
      </c>
      <c r="V221" s="18" t="s">
        <v>37</v>
      </c>
      <c r="W221" s="19">
        <v>2.99</v>
      </c>
      <c r="X221" s="18">
        <v>64</v>
      </c>
      <c r="Y221" s="19">
        <v>191.36</v>
      </c>
      <c r="Z221" s="20">
        <v>19.518720000000002</v>
      </c>
    </row>
    <row r="222" spans="1:26" x14ac:dyDescent="0.25">
      <c r="A222" s="16">
        <v>1253</v>
      </c>
      <c r="B222" s="17">
        <v>41883</v>
      </c>
      <c r="C222" s="18">
        <v>1</v>
      </c>
      <c r="D222" s="18" t="s">
        <v>118</v>
      </c>
      <c r="E222" s="18" t="s">
        <v>119</v>
      </c>
      <c r="F222" s="18" t="s">
        <v>120</v>
      </c>
      <c r="G222" s="18" t="s">
        <v>121</v>
      </c>
      <c r="H222" s="18">
        <v>99999</v>
      </c>
      <c r="I222" s="18" t="s">
        <v>30</v>
      </c>
      <c r="J222" s="18" t="s">
        <v>60</v>
      </c>
      <c r="K222" s="18" t="s">
        <v>61</v>
      </c>
      <c r="L222" s="17"/>
      <c r="M222" s="18"/>
      <c r="N222" s="18" t="s">
        <v>122</v>
      </c>
      <c r="O222" s="18" t="s">
        <v>119</v>
      </c>
      <c r="P222" s="18" t="s">
        <v>120</v>
      </c>
      <c r="Q222" s="18" t="s">
        <v>121</v>
      </c>
      <c r="R222" s="18">
        <v>99999</v>
      </c>
      <c r="S222" s="18" t="s">
        <v>30</v>
      </c>
      <c r="T222" s="18"/>
      <c r="U222" s="18" t="s">
        <v>54</v>
      </c>
      <c r="V222" s="18" t="s">
        <v>37</v>
      </c>
      <c r="W222" s="19">
        <v>18</v>
      </c>
      <c r="X222" s="18">
        <v>58</v>
      </c>
      <c r="Y222" s="19">
        <v>1044</v>
      </c>
      <c r="Z222" s="20">
        <v>103.35600000000001</v>
      </c>
    </row>
    <row r="223" spans="1:26" x14ac:dyDescent="0.25">
      <c r="A223" s="16">
        <v>1254</v>
      </c>
      <c r="B223" s="17">
        <v>41883</v>
      </c>
      <c r="C223" s="18">
        <v>1</v>
      </c>
      <c r="D223" s="18" t="s">
        <v>118</v>
      </c>
      <c r="E223" s="18" t="s">
        <v>119</v>
      </c>
      <c r="F223" s="18" t="s">
        <v>120</v>
      </c>
      <c r="G223" s="18" t="s">
        <v>121</v>
      </c>
      <c r="H223" s="18">
        <v>99999</v>
      </c>
      <c r="I223" s="18" t="s">
        <v>30</v>
      </c>
      <c r="J223" s="18" t="s">
        <v>60</v>
      </c>
      <c r="K223" s="18" t="s">
        <v>61</v>
      </c>
      <c r="L223" s="17"/>
      <c r="M223" s="18"/>
      <c r="N223" s="18" t="s">
        <v>122</v>
      </c>
      <c r="O223" s="18" t="s">
        <v>119</v>
      </c>
      <c r="P223" s="18" t="s">
        <v>120</v>
      </c>
      <c r="Q223" s="18" t="s">
        <v>121</v>
      </c>
      <c r="R223" s="18">
        <v>99999</v>
      </c>
      <c r="S223" s="18" t="s">
        <v>30</v>
      </c>
      <c r="T223" s="18"/>
      <c r="U223" s="18" t="s">
        <v>55</v>
      </c>
      <c r="V223" s="18" t="s">
        <v>37</v>
      </c>
      <c r="W223" s="19">
        <v>46</v>
      </c>
      <c r="X223" s="18">
        <v>97</v>
      </c>
      <c r="Y223" s="19">
        <v>4462</v>
      </c>
      <c r="Z223" s="20">
        <v>464.04800000000006</v>
      </c>
    </row>
    <row r="224" spans="1:26" x14ac:dyDescent="0.25">
      <c r="A224" s="16">
        <v>1255</v>
      </c>
      <c r="B224" s="17">
        <v>41883</v>
      </c>
      <c r="C224" s="18">
        <v>1</v>
      </c>
      <c r="D224" s="18" t="s">
        <v>118</v>
      </c>
      <c r="E224" s="18" t="s">
        <v>119</v>
      </c>
      <c r="F224" s="18" t="s">
        <v>120</v>
      </c>
      <c r="G224" s="18" t="s">
        <v>121</v>
      </c>
      <c r="H224" s="18">
        <v>99999</v>
      </c>
      <c r="I224" s="18" t="s">
        <v>30</v>
      </c>
      <c r="J224" s="18" t="s">
        <v>60</v>
      </c>
      <c r="K224" s="18" t="s">
        <v>61</v>
      </c>
      <c r="L224" s="17"/>
      <c r="M224" s="18"/>
      <c r="N224" s="18" t="s">
        <v>122</v>
      </c>
      <c r="O224" s="18" t="s">
        <v>119</v>
      </c>
      <c r="P224" s="18" t="s">
        <v>120</v>
      </c>
      <c r="Q224" s="18" t="s">
        <v>121</v>
      </c>
      <c r="R224" s="18">
        <v>99999</v>
      </c>
      <c r="S224" s="18" t="s">
        <v>30</v>
      </c>
      <c r="T224" s="18"/>
      <c r="U224" s="18" t="s">
        <v>103</v>
      </c>
      <c r="V224" s="18" t="s">
        <v>37</v>
      </c>
      <c r="W224" s="19">
        <v>2.99</v>
      </c>
      <c r="X224" s="18">
        <v>14</v>
      </c>
      <c r="Y224" s="19">
        <v>41.86</v>
      </c>
      <c r="Z224" s="20">
        <v>4.35344</v>
      </c>
    </row>
    <row r="225" spans="1:26" x14ac:dyDescent="0.25">
      <c r="A225" s="16">
        <v>1256</v>
      </c>
      <c r="B225" s="17">
        <v>41910</v>
      </c>
      <c r="C225" s="18">
        <v>28</v>
      </c>
      <c r="D225" s="18" t="s">
        <v>90</v>
      </c>
      <c r="E225" s="18" t="s">
        <v>91</v>
      </c>
      <c r="F225" s="18" t="s">
        <v>92</v>
      </c>
      <c r="G225" s="18" t="s">
        <v>93</v>
      </c>
      <c r="H225" s="18">
        <v>99999</v>
      </c>
      <c r="I225" s="18" t="s">
        <v>30</v>
      </c>
      <c r="J225" s="18" t="s">
        <v>94</v>
      </c>
      <c r="K225" s="18" t="s">
        <v>95</v>
      </c>
      <c r="L225" s="17">
        <v>41912</v>
      </c>
      <c r="M225" s="18" t="s">
        <v>62</v>
      </c>
      <c r="N225" s="18" t="s">
        <v>96</v>
      </c>
      <c r="O225" s="18" t="s">
        <v>91</v>
      </c>
      <c r="P225" s="18" t="s">
        <v>92</v>
      </c>
      <c r="Q225" s="18" t="s">
        <v>93</v>
      </c>
      <c r="R225" s="18">
        <v>99999</v>
      </c>
      <c r="S225" s="18" t="s">
        <v>30</v>
      </c>
      <c r="T225" s="18" t="s">
        <v>48</v>
      </c>
      <c r="U225" s="18" t="s">
        <v>80</v>
      </c>
      <c r="V225" s="18" t="s">
        <v>81</v>
      </c>
      <c r="W225" s="19">
        <v>9.65</v>
      </c>
      <c r="X225" s="18">
        <v>68</v>
      </c>
      <c r="Y225" s="19">
        <v>656.2</v>
      </c>
      <c r="Z225" s="20">
        <v>64.307600000000008</v>
      </c>
    </row>
    <row r="226" spans="1:26" x14ac:dyDescent="0.25">
      <c r="A226" s="16">
        <v>1257</v>
      </c>
      <c r="B226" s="17">
        <v>41910</v>
      </c>
      <c r="C226" s="18">
        <v>28</v>
      </c>
      <c r="D226" s="18" t="s">
        <v>90</v>
      </c>
      <c r="E226" s="18" t="s">
        <v>91</v>
      </c>
      <c r="F226" s="18" t="s">
        <v>92</v>
      </c>
      <c r="G226" s="18" t="s">
        <v>93</v>
      </c>
      <c r="H226" s="18">
        <v>99999</v>
      </c>
      <c r="I226" s="18" t="s">
        <v>30</v>
      </c>
      <c r="J226" s="18" t="s">
        <v>94</v>
      </c>
      <c r="K226" s="18" t="s">
        <v>95</v>
      </c>
      <c r="L226" s="18">
        <v>41912</v>
      </c>
      <c r="M226" s="18" t="s">
        <v>62</v>
      </c>
      <c r="N226" s="18" t="s">
        <v>96</v>
      </c>
      <c r="O226" s="18" t="s">
        <v>91</v>
      </c>
      <c r="P226" s="18" t="s">
        <v>92</v>
      </c>
      <c r="Q226" s="18" t="s">
        <v>93</v>
      </c>
      <c r="R226" s="18">
        <v>99999</v>
      </c>
      <c r="S226" s="18" t="s">
        <v>30</v>
      </c>
      <c r="T226" s="18" t="s">
        <v>48</v>
      </c>
      <c r="U226" s="18" t="s">
        <v>123</v>
      </c>
      <c r="V226" s="18" t="s">
        <v>124</v>
      </c>
      <c r="W226" s="19">
        <v>18.399999999999999</v>
      </c>
      <c r="X226" s="18">
        <v>32</v>
      </c>
      <c r="Y226" s="19">
        <v>588.79999999999995</v>
      </c>
      <c r="Z226" s="20">
        <v>58.879999999999995</v>
      </c>
    </row>
    <row r="227" spans="1:26" x14ac:dyDescent="0.25">
      <c r="A227" s="16">
        <v>1258</v>
      </c>
      <c r="B227" s="17">
        <v>41891</v>
      </c>
      <c r="C227" s="18">
        <v>9</v>
      </c>
      <c r="D227" s="18" t="s">
        <v>125</v>
      </c>
      <c r="E227" s="18" t="s">
        <v>126</v>
      </c>
      <c r="F227" s="18" t="s">
        <v>127</v>
      </c>
      <c r="G227" s="18" t="s">
        <v>128</v>
      </c>
      <c r="H227" s="18">
        <v>99999</v>
      </c>
      <c r="I227" s="18" t="s">
        <v>30</v>
      </c>
      <c r="J227" s="18" t="s">
        <v>129</v>
      </c>
      <c r="K227" s="18" t="s">
        <v>32</v>
      </c>
      <c r="L227" s="17">
        <v>41893</v>
      </c>
      <c r="M227" s="18" t="s">
        <v>46</v>
      </c>
      <c r="N227" s="18" t="s">
        <v>130</v>
      </c>
      <c r="O227" s="18" t="s">
        <v>126</v>
      </c>
      <c r="P227" s="18" t="s">
        <v>127</v>
      </c>
      <c r="Q227" s="18" t="s">
        <v>128</v>
      </c>
      <c r="R227" s="18">
        <v>99999</v>
      </c>
      <c r="S227" s="18" t="s">
        <v>30</v>
      </c>
      <c r="T227" s="18" t="s">
        <v>35</v>
      </c>
      <c r="U227" s="18" t="s">
        <v>131</v>
      </c>
      <c r="V227" s="18" t="s">
        <v>132</v>
      </c>
      <c r="W227" s="19">
        <v>19.5</v>
      </c>
      <c r="X227" s="18">
        <v>48</v>
      </c>
      <c r="Y227" s="19">
        <v>936</v>
      </c>
      <c r="Z227" s="20">
        <v>94.536000000000016</v>
      </c>
    </row>
    <row r="228" spans="1:26" x14ac:dyDescent="0.25">
      <c r="A228" s="16">
        <v>1259</v>
      </c>
      <c r="B228" s="17">
        <v>41891</v>
      </c>
      <c r="C228" s="18">
        <v>9</v>
      </c>
      <c r="D228" s="18" t="s">
        <v>125</v>
      </c>
      <c r="E228" s="18" t="s">
        <v>126</v>
      </c>
      <c r="F228" s="18" t="s">
        <v>127</v>
      </c>
      <c r="G228" s="18" t="s">
        <v>128</v>
      </c>
      <c r="H228" s="18">
        <v>99999</v>
      </c>
      <c r="I228" s="18" t="s">
        <v>30</v>
      </c>
      <c r="J228" s="18" t="s">
        <v>129</v>
      </c>
      <c r="K228" s="18" t="s">
        <v>32</v>
      </c>
      <c r="L228" s="17">
        <v>41893</v>
      </c>
      <c r="M228" s="18" t="s">
        <v>46</v>
      </c>
      <c r="N228" s="18" t="s">
        <v>130</v>
      </c>
      <c r="O228" s="18" t="s">
        <v>126</v>
      </c>
      <c r="P228" s="18" t="s">
        <v>127</v>
      </c>
      <c r="Q228" s="18" t="s">
        <v>128</v>
      </c>
      <c r="R228" s="18">
        <v>99999</v>
      </c>
      <c r="S228" s="18" t="s">
        <v>30</v>
      </c>
      <c r="T228" s="18" t="s">
        <v>35</v>
      </c>
      <c r="U228" s="18" t="s">
        <v>133</v>
      </c>
      <c r="V228" s="18" t="s">
        <v>134</v>
      </c>
      <c r="W228" s="19">
        <v>34.799999999999997</v>
      </c>
      <c r="X228" s="18">
        <v>57</v>
      </c>
      <c r="Y228" s="19">
        <v>1983.6</v>
      </c>
      <c r="Z228" s="20">
        <v>194.39280000000002</v>
      </c>
    </row>
    <row r="229" spans="1:26" x14ac:dyDescent="0.25">
      <c r="A229" s="16">
        <v>1260</v>
      </c>
      <c r="B229" s="17">
        <v>41888</v>
      </c>
      <c r="C229" s="18">
        <v>6</v>
      </c>
      <c r="D229" s="18" t="s">
        <v>82</v>
      </c>
      <c r="E229" s="18" t="s">
        <v>83</v>
      </c>
      <c r="F229" s="18" t="s">
        <v>84</v>
      </c>
      <c r="G229" s="18" t="s">
        <v>85</v>
      </c>
      <c r="H229" s="18">
        <v>99999</v>
      </c>
      <c r="I229" s="18" t="s">
        <v>30</v>
      </c>
      <c r="J229" s="18" t="s">
        <v>86</v>
      </c>
      <c r="K229" s="18" t="s">
        <v>61</v>
      </c>
      <c r="L229" s="17">
        <v>41890</v>
      </c>
      <c r="M229" s="18" t="s">
        <v>33</v>
      </c>
      <c r="N229" s="18" t="s">
        <v>87</v>
      </c>
      <c r="O229" s="18" t="s">
        <v>83</v>
      </c>
      <c r="P229" s="18" t="s">
        <v>84</v>
      </c>
      <c r="Q229" s="18" t="s">
        <v>85</v>
      </c>
      <c r="R229" s="18">
        <v>99999</v>
      </c>
      <c r="S229" s="18" t="s">
        <v>30</v>
      </c>
      <c r="T229" s="18" t="s">
        <v>48</v>
      </c>
      <c r="U229" s="18" t="s">
        <v>36</v>
      </c>
      <c r="V229" s="18" t="s">
        <v>37</v>
      </c>
      <c r="W229" s="19">
        <v>14</v>
      </c>
      <c r="X229" s="18">
        <v>67</v>
      </c>
      <c r="Y229" s="19">
        <v>938</v>
      </c>
      <c r="Z229" s="20">
        <v>98.490000000000009</v>
      </c>
    </row>
    <row r="230" spans="1:26" x14ac:dyDescent="0.25">
      <c r="A230" s="16">
        <v>1261</v>
      </c>
      <c r="B230" s="17">
        <v>41890</v>
      </c>
      <c r="C230" s="18">
        <v>8</v>
      </c>
      <c r="D230" s="18" t="s">
        <v>56</v>
      </c>
      <c r="E230" s="18" t="s">
        <v>57</v>
      </c>
      <c r="F230" s="18" t="s">
        <v>58</v>
      </c>
      <c r="G230" s="18" t="s">
        <v>59</v>
      </c>
      <c r="H230" s="18">
        <v>99999</v>
      </c>
      <c r="I230" s="18" t="s">
        <v>30</v>
      </c>
      <c r="J230" s="18" t="s">
        <v>60</v>
      </c>
      <c r="K230" s="18" t="s">
        <v>61</v>
      </c>
      <c r="L230" s="18">
        <v>41892</v>
      </c>
      <c r="M230" s="18" t="s">
        <v>33</v>
      </c>
      <c r="N230" s="18" t="s">
        <v>63</v>
      </c>
      <c r="O230" s="18" t="s">
        <v>57</v>
      </c>
      <c r="P230" s="18" t="s">
        <v>58</v>
      </c>
      <c r="Q230" s="18" t="s">
        <v>59</v>
      </c>
      <c r="R230" s="18">
        <v>99999</v>
      </c>
      <c r="S230" s="18" t="s">
        <v>30</v>
      </c>
      <c r="T230" s="18" t="s">
        <v>35</v>
      </c>
      <c r="U230" s="18" t="s">
        <v>88</v>
      </c>
      <c r="V230" s="18" t="s">
        <v>89</v>
      </c>
      <c r="W230" s="19">
        <v>40</v>
      </c>
      <c r="X230" s="18">
        <v>48</v>
      </c>
      <c r="Y230" s="19">
        <v>1920</v>
      </c>
      <c r="Z230" s="20">
        <v>188.16</v>
      </c>
    </row>
    <row r="231" spans="1:26" x14ac:dyDescent="0.25">
      <c r="A231" s="16">
        <v>1262</v>
      </c>
      <c r="B231" s="17">
        <v>41890</v>
      </c>
      <c r="C231" s="18">
        <v>8</v>
      </c>
      <c r="D231" s="18" t="s">
        <v>56</v>
      </c>
      <c r="E231" s="18" t="s">
        <v>57</v>
      </c>
      <c r="F231" s="18" t="s">
        <v>58</v>
      </c>
      <c r="G231" s="18" t="s">
        <v>59</v>
      </c>
      <c r="H231" s="18">
        <v>99999</v>
      </c>
      <c r="I231" s="18" t="s">
        <v>30</v>
      </c>
      <c r="J231" s="18" t="s">
        <v>60</v>
      </c>
      <c r="K231" s="18" t="s">
        <v>61</v>
      </c>
      <c r="L231" s="18">
        <v>41892</v>
      </c>
      <c r="M231" s="18" t="s">
        <v>33</v>
      </c>
      <c r="N231" s="18" t="s">
        <v>63</v>
      </c>
      <c r="O231" s="18" t="s">
        <v>57</v>
      </c>
      <c r="P231" s="18" t="s">
        <v>58</v>
      </c>
      <c r="Q231" s="18" t="s">
        <v>59</v>
      </c>
      <c r="R231" s="18">
        <v>99999</v>
      </c>
      <c r="S231" s="18" t="s">
        <v>30</v>
      </c>
      <c r="T231" s="18" t="s">
        <v>35</v>
      </c>
      <c r="U231" s="18" t="s">
        <v>64</v>
      </c>
      <c r="V231" s="18" t="s">
        <v>65</v>
      </c>
      <c r="W231" s="19">
        <v>9.1999999999999993</v>
      </c>
      <c r="X231" s="18">
        <v>77</v>
      </c>
      <c r="Y231" s="19">
        <v>708.4</v>
      </c>
      <c r="Z231" s="20">
        <v>72.256799999999998</v>
      </c>
    </row>
    <row r="232" spans="1:26" x14ac:dyDescent="0.25">
      <c r="A232" s="16">
        <v>1263</v>
      </c>
      <c r="B232" s="17">
        <v>41907</v>
      </c>
      <c r="C232" s="18">
        <v>25</v>
      </c>
      <c r="D232" s="18" t="s">
        <v>137</v>
      </c>
      <c r="E232" s="18" t="s">
        <v>138</v>
      </c>
      <c r="F232" s="18" t="s">
        <v>99</v>
      </c>
      <c r="G232" s="18" t="s">
        <v>100</v>
      </c>
      <c r="H232" s="18">
        <v>99999</v>
      </c>
      <c r="I232" s="18" t="s">
        <v>30</v>
      </c>
      <c r="J232" s="18" t="s">
        <v>101</v>
      </c>
      <c r="K232" s="18" t="s">
        <v>45</v>
      </c>
      <c r="L232" s="18">
        <v>41909</v>
      </c>
      <c r="M232" s="18" t="s">
        <v>46</v>
      </c>
      <c r="N232" s="18" t="s">
        <v>139</v>
      </c>
      <c r="O232" s="18" t="s">
        <v>138</v>
      </c>
      <c r="P232" s="18" t="s">
        <v>99</v>
      </c>
      <c r="Q232" s="18" t="s">
        <v>100</v>
      </c>
      <c r="R232" s="18">
        <v>99999</v>
      </c>
      <c r="S232" s="18" t="s">
        <v>30</v>
      </c>
      <c r="T232" s="18" t="s">
        <v>79</v>
      </c>
      <c r="U232" s="18" t="s">
        <v>146</v>
      </c>
      <c r="V232" s="18" t="s">
        <v>65</v>
      </c>
      <c r="W232" s="19">
        <v>10</v>
      </c>
      <c r="X232" s="18">
        <v>94</v>
      </c>
      <c r="Y232" s="19">
        <v>940</v>
      </c>
      <c r="Z232" s="20">
        <v>97.76</v>
      </c>
    </row>
    <row r="233" spans="1:26" x14ac:dyDescent="0.25">
      <c r="A233" s="16">
        <v>1264</v>
      </c>
      <c r="B233" s="17">
        <v>41908</v>
      </c>
      <c r="C233" s="18">
        <v>26</v>
      </c>
      <c r="D233" s="18" t="s">
        <v>140</v>
      </c>
      <c r="E233" s="18" t="s">
        <v>141</v>
      </c>
      <c r="F233" s="18" t="s">
        <v>115</v>
      </c>
      <c r="G233" s="18" t="s">
        <v>116</v>
      </c>
      <c r="H233" s="18">
        <v>99999</v>
      </c>
      <c r="I233" s="18" t="s">
        <v>30</v>
      </c>
      <c r="J233" s="18" t="s">
        <v>94</v>
      </c>
      <c r="K233" s="18" t="s">
        <v>95</v>
      </c>
      <c r="L233" s="18">
        <v>41910</v>
      </c>
      <c r="M233" s="18" t="s">
        <v>62</v>
      </c>
      <c r="N233" s="18" t="s">
        <v>142</v>
      </c>
      <c r="O233" s="18" t="s">
        <v>141</v>
      </c>
      <c r="P233" s="18" t="s">
        <v>115</v>
      </c>
      <c r="Q233" s="18" t="s">
        <v>116</v>
      </c>
      <c r="R233" s="18">
        <v>99999</v>
      </c>
      <c r="S233" s="18" t="s">
        <v>30</v>
      </c>
      <c r="T233" s="18" t="s">
        <v>48</v>
      </c>
      <c r="U233" s="18" t="s">
        <v>147</v>
      </c>
      <c r="V233" s="18" t="s">
        <v>148</v>
      </c>
      <c r="W233" s="19">
        <v>21.35</v>
      </c>
      <c r="X233" s="18">
        <v>54</v>
      </c>
      <c r="Y233" s="19">
        <v>1152.9000000000001</v>
      </c>
      <c r="Z233" s="20">
        <v>121.05450000000003</v>
      </c>
    </row>
    <row r="234" spans="1:26" x14ac:dyDescent="0.25">
      <c r="A234" s="16">
        <v>1265</v>
      </c>
      <c r="B234" s="17">
        <v>41908</v>
      </c>
      <c r="C234" s="18">
        <v>26</v>
      </c>
      <c r="D234" s="18" t="s">
        <v>140</v>
      </c>
      <c r="E234" s="18" t="s">
        <v>141</v>
      </c>
      <c r="F234" s="18" t="s">
        <v>115</v>
      </c>
      <c r="G234" s="18" t="s">
        <v>116</v>
      </c>
      <c r="H234" s="18">
        <v>99999</v>
      </c>
      <c r="I234" s="18" t="s">
        <v>30</v>
      </c>
      <c r="J234" s="18" t="s">
        <v>94</v>
      </c>
      <c r="K234" s="18" t="s">
        <v>95</v>
      </c>
      <c r="L234" s="18">
        <v>41910</v>
      </c>
      <c r="M234" s="18" t="s">
        <v>62</v>
      </c>
      <c r="N234" s="18" t="s">
        <v>142</v>
      </c>
      <c r="O234" s="18" t="s">
        <v>141</v>
      </c>
      <c r="P234" s="18" t="s">
        <v>115</v>
      </c>
      <c r="Q234" s="18" t="s">
        <v>116</v>
      </c>
      <c r="R234" s="18">
        <v>99999</v>
      </c>
      <c r="S234" s="18" t="s">
        <v>30</v>
      </c>
      <c r="T234" s="18" t="s">
        <v>48</v>
      </c>
      <c r="U234" s="18" t="s">
        <v>80</v>
      </c>
      <c r="V234" s="18" t="s">
        <v>81</v>
      </c>
      <c r="W234" s="19">
        <v>9.65</v>
      </c>
      <c r="X234" s="18">
        <v>43</v>
      </c>
      <c r="Y234" s="19">
        <v>414.95</v>
      </c>
      <c r="Z234" s="20">
        <v>40.250150000000005</v>
      </c>
    </row>
    <row r="235" spans="1:26" x14ac:dyDescent="0.25">
      <c r="A235" s="16">
        <v>1266</v>
      </c>
      <c r="B235" s="17">
        <v>41908</v>
      </c>
      <c r="C235" s="18">
        <v>26</v>
      </c>
      <c r="D235" s="18" t="s">
        <v>140</v>
      </c>
      <c r="E235" s="18" t="s">
        <v>141</v>
      </c>
      <c r="F235" s="18" t="s">
        <v>115</v>
      </c>
      <c r="G235" s="18" t="s">
        <v>116</v>
      </c>
      <c r="H235" s="18">
        <v>99999</v>
      </c>
      <c r="I235" s="18" t="s">
        <v>30</v>
      </c>
      <c r="J235" s="18" t="s">
        <v>94</v>
      </c>
      <c r="K235" s="18" t="s">
        <v>95</v>
      </c>
      <c r="L235" s="17">
        <v>41910</v>
      </c>
      <c r="M235" s="18" t="s">
        <v>62</v>
      </c>
      <c r="N235" s="18" t="s">
        <v>142</v>
      </c>
      <c r="O235" s="18" t="s">
        <v>141</v>
      </c>
      <c r="P235" s="18" t="s">
        <v>115</v>
      </c>
      <c r="Q235" s="18" t="s">
        <v>116</v>
      </c>
      <c r="R235" s="18">
        <v>99999</v>
      </c>
      <c r="S235" s="18" t="s">
        <v>30</v>
      </c>
      <c r="T235" s="18" t="s">
        <v>48</v>
      </c>
      <c r="U235" s="18" t="s">
        <v>123</v>
      </c>
      <c r="V235" s="18" t="s">
        <v>124</v>
      </c>
      <c r="W235" s="19">
        <v>18.399999999999999</v>
      </c>
      <c r="X235" s="18">
        <v>71</v>
      </c>
      <c r="Y235" s="19">
        <v>1306.3999999999999</v>
      </c>
      <c r="Z235" s="20">
        <v>134.55919999999998</v>
      </c>
    </row>
    <row r="236" spans="1:26" x14ac:dyDescent="0.25">
      <c r="A236" s="16">
        <v>1267</v>
      </c>
      <c r="B236" s="17">
        <v>41911</v>
      </c>
      <c r="C236" s="18">
        <v>29</v>
      </c>
      <c r="D236" s="18" t="s">
        <v>66</v>
      </c>
      <c r="E236" s="18" t="s">
        <v>67</v>
      </c>
      <c r="F236" s="18" t="s">
        <v>68</v>
      </c>
      <c r="G236" s="18" t="s">
        <v>69</v>
      </c>
      <c r="H236" s="18">
        <v>99999</v>
      </c>
      <c r="I236" s="18" t="s">
        <v>30</v>
      </c>
      <c r="J236" s="18" t="s">
        <v>70</v>
      </c>
      <c r="K236" s="18" t="s">
        <v>32</v>
      </c>
      <c r="L236" s="17">
        <v>41913</v>
      </c>
      <c r="M236" s="18" t="s">
        <v>33</v>
      </c>
      <c r="N236" s="18" t="s">
        <v>71</v>
      </c>
      <c r="O236" s="18" t="s">
        <v>67</v>
      </c>
      <c r="P236" s="18" t="s">
        <v>68</v>
      </c>
      <c r="Q236" s="18" t="s">
        <v>69</v>
      </c>
      <c r="R236" s="18">
        <v>99999</v>
      </c>
      <c r="S236" s="18" t="s">
        <v>30</v>
      </c>
      <c r="T236" s="18" t="s">
        <v>35</v>
      </c>
      <c r="U236" s="18" t="s">
        <v>36</v>
      </c>
      <c r="V236" s="18" t="s">
        <v>37</v>
      </c>
      <c r="W236" s="19">
        <v>14</v>
      </c>
      <c r="X236" s="18">
        <v>50</v>
      </c>
      <c r="Y236" s="19">
        <v>700</v>
      </c>
      <c r="Z236" s="20">
        <v>67.2</v>
      </c>
    </row>
    <row r="237" spans="1:26" x14ac:dyDescent="0.25">
      <c r="A237" s="16">
        <v>1268</v>
      </c>
      <c r="B237" s="17">
        <v>41888</v>
      </c>
      <c r="C237" s="18">
        <v>6</v>
      </c>
      <c r="D237" s="18" t="s">
        <v>82</v>
      </c>
      <c r="E237" s="18" t="s">
        <v>83</v>
      </c>
      <c r="F237" s="18" t="s">
        <v>84</v>
      </c>
      <c r="G237" s="18" t="s">
        <v>85</v>
      </c>
      <c r="H237" s="18">
        <v>99999</v>
      </c>
      <c r="I237" s="18" t="s">
        <v>30</v>
      </c>
      <c r="J237" s="18" t="s">
        <v>86</v>
      </c>
      <c r="K237" s="18" t="s">
        <v>61</v>
      </c>
      <c r="L237" s="17">
        <v>41890</v>
      </c>
      <c r="M237" s="18" t="s">
        <v>62</v>
      </c>
      <c r="N237" s="18" t="s">
        <v>87</v>
      </c>
      <c r="O237" s="18" t="s">
        <v>83</v>
      </c>
      <c r="P237" s="18" t="s">
        <v>84</v>
      </c>
      <c r="Q237" s="18" t="s">
        <v>85</v>
      </c>
      <c r="R237" s="18">
        <v>99999</v>
      </c>
      <c r="S237" s="18" t="s">
        <v>30</v>
      </c>
      <c r="T237" s="18" t="s">
        <v>35</v>
      </c>
      <c r="U237" s="18" t="s">
        <v>72</v>
      </c>
      <c r="V237" s="18" t="s">
        <v>73</v>
      </c>
      <c r="W237" s="19">
        <v>12.75</v>
      </c>
      <c r="X237" s="18">
        <v>96</v>
      </c>
      <c r="Y237" s="19">
        <v>1224</v>
      </c>
      <c r="Z237" s="20">
        <v>119.952</v>
      </c>
    </row>
    <row r="238" spans="1:26" x14ac:dyDescent="0.25">
      <c r="A238" s="16">
        <v>1270</v>
      </c>
      <c r="B238" s="17">
        <v>41886</v>
      </c>
      <c r="C238" s="18">
        <v>4</v>
      </c>
      <c r="D238" s="18" t="s">
        <v>40</v>
      </c>
      <c r="E238" s="18" t="s">
        <v>41</v>
      </c>
      <c r="F238" s="18" t="s">
        <v>42</v>
      </c>
      <c r="G238" s="18" t="s">
        <v>43</v>
      </c>
      <c r="H238" s="18">
        <v>99999</v>
      </c>
      <c r="I238" s="18" t="s">
        <v>30</v>
      </c>
      <c r="J238" s="18" t="s">
        <v>44</v>
      </c>
      <c r="K238" s="18" t="s">
        <v>45</v>
      </c>
      <c r="L238" s="17">
        <v>41888</v>
      </c>
      <c r="M238" s="18" t="s">
        <v>46</v>
      </c>
      <c r="N238" s="18" t="s">
        <v>47</v>
      </c>
      <c r="O238" s="18" t="s">
        <v>41</v>
      </c>
      <c r="P238" s="18" t="s">
        <v>42</v>
      </c>
      <c r="Q238" s="18" t="s">
        <v>43</v>
      </c>
      <c r="R238" s="18">
        <v>99999</v>
      </c>
      <c r="S238" s="18" t="s">
        <v>30</v>
      </c>
      <c r="T238" s="18" t="s">
        <v>48</v>
      </c>
      <c r="U238" s="18" t="s">
        <v>149</v>
      </c>
      <c r="V238" s="18" t="s">
        <v>110</v>
      </c>
      <c r="W238" s="19">
        <v>81</v>
      </c>
      <c r="X238" s="18">
        <v>54</v>
      </c>
      <c r="Y238" s="19">
        <v>4374</v>
      </c>
      <c r="Z238" s="20">
        <v>437.40000000000003</v>
      </c>
    </row>
    <row r="239" spans="1:26" x14ac:dyDescent="0.25">
      <c r="A239" s="16">
        <v>1271</v>
      </c>
      <c r="B239" s="17">
        <v>41886</v>
      </c>
      <c r="C239" s="18">
        <v>4</v>
      </c>
      <c r="D239" s="18" t="s">
        <v>40</v>
      </c>
      <c r="E239" s="18" t="s">
        <v>41</v>
      </c>
      <c r="F239" s="18" t="s">
        <v>42</v>
      </c>
      <c r="G239" s="18" t="s">
        <v>43</v>
      </c>
      <c r="H239" s="18">
        <v>99999</v>
      </c>
      <c r="I239" s="18" t="s">
        <v>30</v>
      </c>
      <c r="J239" s="18" t="s">
        <v>44</v>
      </c>
      <c r="K239" s="18" t="s">
        <v>45</v>
      </c>
      <c r="L239" s="17">
        <v>41888</v>
      </c>
      <c r="M239" s="18" t="s">
        <v>46</v>
      </c>
      <c r="N239" s="18" t="s">
        <v>47</v>
      </c>
      <c r="O239" s="18" t="s">
        <v>41</v>
      </c>
      <c r="P239" s="18" t="s">
        <v>42</v>
      </c>
      <c r="Q239" s="18" t="s">
        <v>43</v>
      </c>
      <c r="R239" s="18">
        <v>99999</v>
      </c>
      <c r="S239" s="18" t="s">
        <v>30</v>
      </c>
      <c r="T239" s="18" t="s">
        <v>48</v>
      </c>
      <c r="U239" s="18" t="s">
        <v>150</v>
      </c>
      <c r="V239" s="18" t="s">
        <v>151</v>
      </c>
      <c r="W239" s="19">
        <v>7</v>
      </c>
      <c r="X239" s="18">
        <v>39</v>
      </c>
      <c r="Y239" s="19">
        <v>273</v>
      </c>
      <c r="Z239" s="20">
        <v>27.3</v>
      </c>
    </row>
    <row r="240" spans="1:26" x14ac:dyDescent="0.25">
      <c r="A240" s="16">
        <v>1273</v>
      </c>
      <c r="B240" s="17">
        <v>41890</v>
      </c>
      <c r="C240" s="18">
        <v>8</v>
      </c>
      <c r="D240" s="18" t="s">
        <v>56</v>
      </c>
      <c r="E240" s="18" t="s">
        <v>57</v>
      </c>
      <c r="F240" s="18" t="s">
        <v>58</v>
      </c>
      <c r="G240" s="18" t="s">
        <v>59</v>
      </c>
      <c r="H240" s="18">
        <v>99999</v>
      </c>
      <c r="I240" s="18" t="s">
        <v>30</v>
      </c>
      <c r="J240" s="18" t="s">
        <v>60</v>
      </c>
      <c r="K240" s="18" t="s">
        <v>61</v>
      </c>
      <c r="L240" s="17">
        <v>41892</v>
      </c>
      <c r="M240" s="18" t="s">
        <v>62</v>
      </c>
      <c r="N240" s="18" t="s">
        <v>63</v>
      </c>
      <c r="O240" s="18" t="s">
        <v>57</v>
      </c>
      <c r="P240" s="18" t="s">
        <v>58</v>
      </c>
      <c r="Q240" s="18" t="s">
        <v>59</v>
      </c>
      <c r="R240" s="18">
        <v>99999</v>
      </c>
      <c r="S240" s="18" t="s">
        <v>30</v>
      </c>
      <c r="T240" s="18" t="s">
        <v>48</v>
      </c>
      <c r="U240" s="18" t="s">
        <v>133</v>
      </c>
      <c r="V240" s="18" t="s">
        <v>134</v>
      </c>
      <c r="W240" s="19">
        <v>34.799999999999997</v>
      </c>
      <c r="X240" s="18">
        <v>63</v>
      </c>
      <c r="Y240" s="19">
        <v>2192.3999999999996</v>
      </c>
      <c r="Z240" s="20">
        <v>230.202</v>
      </c>
    </row>
    <row r="241" spans="1:26" x14ac:dyDescent="0.25">
      <c r="A241" s="16">
        <v>1276</v>
      </c>
      <c r="B241" s="17">
        <v>41885</v>
      </c>
      <c r="C241" s="18">
        <v>3</v>
      </c>
      <c r="D241" s="18" t="s">
        <v>74</v>
      </c>
      <c r="E241" s="18" t="s">
        <v>75</v>
      </c>
      <c r="F241" s="18" t="s">
        <v>76</v>
      </c>
      <c r="G241" s="18" t="s">
        <v>77</v>
      </c>
      <c r="H241" s="18">
        <v>99999</v>
      </c>
      <c r="I241" s="18" t="s">
        <v>30</v>
      </c>
      <c r="J241" s="18" t="s">
        <v>31</v>
      </c>
      <c r="K241" s="18" t="s">
        <v>32</v>
      </c>
      <c r="L241" s="17">
        <v>41887</v>
      </c>
      <c r="M241" s="18" t="s">
        <v>33</v>
      </c>
      <c r="N241" s="18" t="s">
        <v>78</v>
      </c>
      <c r="O241" s="18" t="s">
        <v>75</v>
      </c>
      <c r="P241" s="18" t="s">
        <v>76</v>
      </c>
      <c r="Q241" s="18" t="s">
        <v>77</v>
      </c>
      <c r="R241" s="18">
        <v>99999</v>
      </c>
      <c r="S241" s="18" t="s">
        <v>30</v>
      </c>
      <c r="T241" s="18" t="s">
        <v>79</v>
      </c>
      <c r="U241" s="18" t="s">
        <v>135</v>
      </c>
      <c r="V241" s="18" t="s">
        <v>112</v>
      </c>
      <c r="W241" s="19">
        <v>10</v>
      </c>
      <c r="X241" s="18">
        <v>71</v>
      </c>
      <c r="Y241" s="19">
        <v>710</v>
      </c>
      <c r="Z241" s="20">
        <v>73.13</v>
      </c>
    </row>
    <row r="242" spans="1:26" x14ac:dyDescent="0.25">
      <c r="A242" s="16">
        <v>1277</v>
      </c>
      <c r="B242" s="17">
        <v>41885</v>
      </c>
      <c r="C242" s="18">
        <v>3</v>
      </c>
      <c r="D242" s="18" t="s">
        <v>74</v>
      </c>
      <c r="E242" s="18" t="s">
        <v>75</v>
      </c>
      <c r="F242" s="18" t="s">
        <v>76</v>
      </c>
      <c r="G242" s="18" t="s">
        <v>77</v>
      </c>
      <c r="H242" s="18">
        <v>99999</v>
      </c>
      <c r="I242" s="18" t="s">
        <v>30</v>
      </c>
      <c r="J242" s="18" t="s">
        <v>31</v>
      </c>
      <c r="K242" s="18" t="s">
        <v>32</v>
      </c>
      <c r="L242" s="17">
        <v>41887</v>
      </c>
      <c r="M242" s="18" t="s">
        <v>33</v>
      </c>
      <c r="N242" s="18" t="s">
        <v>78</v>
      </c>
      <c r="O242" s="18" t="s">
        <v>75</v>
      </c>
      <c r="P242" s="18" t="s">
        <v>76</v>
      </c>
      <c r="Q242" s="18" t="s">
        <v>77</v>
      </c>
      <c r="R242" s="18">
        <v>99999</v>
      </c>
      <c r="S242" s="18" t="s">
        <v>30</v>
      </c>
      <c r="T242" s="18" t="s">
        <v>79</v>
      </c>
      <c r="U242" s="18" t="s">
        <v>88</v>
      </c>
      <c r="V242" s="18" t="s">
        <v>89</v>
      </c>
      <c r="W242" s="19">
        <v>40</v>
      </c>
      <c r="X242" s="18">
        <v>88</v>
      </c>
      <c r="Y242" s="19">
        <v>3520</v>
      </c>
      <c r="Z242" s="20">
        <v>366.08000000000004</v>
      </c>
    </row>
    <row r="243" spans="1:26" x14ac:dyDescent="0.25">
      <c r="A243" s="16">
        <v>1281</v>
      </c>
      <c r="B243" s="17">
        <v>41892</v>
      </c>
      <c r="C243" s="18">
        <v>10</v>
      </c>
      <c r="D243" s="18" t="s">
        <v>97</v>
      </c>
      <c r="E243" s="18" t="s">
        <v>98</v>
      </c>
      <c r="F243" s="18" t="s">
        <v>99</v>
      </c>
      <c r="G243" s="18" t="s">
        <v>100</v>
      </c>
      <c r="H243" s="18">
        <v>99999</v>
      </c>
      <c r="I243" s="18" t="s">
        <v>30</v>
      </c>
      <c r="J243" s="18" t="s">
        <v>101</v>
      </c>
      <c r="K243" s="18" t="s">
        <v>45</v>
      </c>
      <c r="L243" s="17">
        <v>41894</v>
      </c>
      <c r="M243" s="18" t="s">
        <v>33</v>
      </c>
      <c r="N243" s="18" t="s">
        <v>102</v>
      </c>
      <c r="O243" s="18" t="s">
        <v>98</v>
      </c>
      <c r="P243" s="18" t="s">
        <v>99</v>
      </c>
      <c r="Q243" s="18" t="s">
        <v>100</v>
      </c>
      <c r="R243" s="18">
        <v>99999</v>
      </c>
      <c r="S243" s="18" t="s">
        <v>30</v>
      </c>
      <c r="T243" s="18" t="s">
        <v>48</v>
      </c>
      <c r="U243" s="18" t="s">
        <v>136</v>
      </c>
      <c r="V243" s="18" t="s">
        <v>39</v>
      </c>
      <c r="W243" s="19">
        <v>10</v>
      </c>
      <c r="X243" s="18">
        <v>59</v>
      </c>
      <c r="Y243" s="19">
        <v>590</v>
      </c>
      <c r="Z243" s="20">
        <v>59.59</v>
      </c>
    </row>
    <row r="244" spans="1:26" x14ac:dyDescent="0.25">
      <c r="A244" s="16">
        <v>1282</v>
      </c>
      <c r="B244" s="17">
        <v>41918</v>
      </c>
      <c r="C244" s="18">
        <v>6</v>
      </c>
      <c r="D244" s="18" t="s">
        <v>82</v>
      </c>
      <c r="E244" s="18" t="s">
        <v>83</v>
      </c>
      <c r="F244" s="18" t="s">
        <v>84</v>
      </c>
      <c r="G244" s="18" t="s">
        <v>85</v>
      </c>
      <c r="H244" s="18">
        <v>99999</v>
      </c>
      <c r="I244" s="18" t="s">
        <v>30</v>
      </c>
      <c r="J244" s="18" t="s">
        <v>86</v>
      </c>
      <c r="K244" s="18" t="s">
        <v>61</v>
      </c>
      <c r="L244" s="17">
        <v>41920</v>
      </c>
      <c r="M244" s="18" t="s">
        <v>33</v>
      </c>
      <c r="N244" s="18" t="s">
        <v>87</v>
      </c>
      <c r="O244" s="18" t="s">
        <v>83</v>
      </c>
      <c r="P244" s="18" t="s">
        <v>84</v>
      </c>
      <c r="Q244" s="18" t="s">
        <v>85</v>
      </c>
      <c r="R244" s="18">
        <v>99999</v>
      </c>
      <c r="S244" s="18" t="s">
        <v>30</v>
      </c>
      <c r="T244" s="18" t="s">
        <v>48</v>
      </c>
      <c r="U244" s="18" t="s">
        <v>88</v>
      </c>
      <c r="V244" s="18" t="s">
        <v>89</v>
      </c>
      <c r="W244" s="19">
        <v>40</v>
      </c>
      <c r="X244" s="18">
        <v>94</v>
      </c>
      <c r="Y244" s="19">
        <v>3760</v>
      </c>
      <c r="Z244" s="20">
        <v>376</v>
      </c>
    </row>
    <row r="245" spans="1:26" x14ac:dyDescent="0.25">
      <c r="A245" s="16">
        <v>1283</v>
      </c>
      <c r="B245" s="17">
        <v>41940</v>
      </c>
      <c r="C245" s="18">
        <v>28</v>
      </c>
      <c r="D245" s="18" t="s">
        <v>90</v>
      </c>
      <c r="E245" s="18" t="s">
        <v>91</v>
      </c>
      <c r="F245" s="18" t="s">
        <v>92</v>
      </c>
      <c r="G245" s="18" t="s">
        <v>93</v>
      </c>
      <c r="H245" s="18">
        <v>99999</v>
      </c>
      <c r="I245" s="18" t="s">
        <v>30</v>
      </c>
      <c r="J245" s="18" t="s">
        <v>94</v>
      </c>
      <c r="K245" s="18" t="s">
        <v>95</v>
      </c>
      <c r="L245" s="17">
        <v>41942</v>
      </c>
      <c r="M245" s="18" t="s">
        <v>62</v>
      </c>
      <c r="N245" s="18" t="s">
        <v>96</v>
      </c>
      <c r="O245" s="18" t="s">
        <v>91</v>
      </c>
      <c r="P245" s="18" t="s">
        <v>92</v>
      </c>
      <c r="Q245" s="18" t="s">
        <v>93</v>
      </c>
      <c r="R245" s="18">
        <v>99999</v>
      </c>
      <c r="S245" s="18" t="s">
        <v>30</v>
      </c>
      <c r="T245" s="18" t="s">
        <v>35</v>
      </c>
      <c r="U245" s="18" t="s">
        <v>55</v>
      </c>
      <c r="V245" s="18" t="s">
        <v>37</v>
      </c>
      <c r="W245" s="19">
        <v>46</v>
      </c>
      <c r="X245" s="18">
        <v>86</v>
      </c>
      <c r="Y245" s="19">
        <v>3956</v>
      </c>
      <c r="Z245" s="20">
        <v>379.77600000000001</v>
      </c>
    </row>
    <row r="246" spans="1:26" x14ac:dyDescent="0.25">
      <c r="A246" s="16">
        <v>1284</v>
      </c>
      <c r="B246" s="17">
        <v>41920</v>
      </c>
      <c r="C246" s="18">
        <v>8</v>
      </c>
      <c r="D246" s="18" t="s">
        <v>56</v>
      </c>
      <c r="E246" s="18" t="s">
        <v>57</v>
      </c>
      <c r="F246" s="18" t="s">
        <v>58</v>
      </c>
      <c r="G246" s="18" t="s">
        <v>59</v>
      </c>
      <c r="H246" s="18">
        <v>99999</v>
      </c>
      <c r="I246" s="18" t="s">
        <v>30</v>
      </c>
      <c r="J246" s="18" t="s">
        <v>60</v>
      </c>
      <c r="K246" s="18" t="s">
        <v>61</v>
      </c>
      <c r="L246" s="17">
        <v>41922</v>
      </c>
      <c r="M246" s="18" t="s">
        <v>62</v>
      </c>
      <c r="N246" s="18" t="s">
        <v>63</v>
      </c>
      <c r="O246" s="18" t="s">
        <v>57</v>
      </c>
      <c r="P246" s="18" t="s">
        <v>58</v>
      </c>
      <c r="Q246" s="18" t="s">
        <v>59</v>
      </c>
      <c r="R246" s="18">
        <v>99999</v>
      </c>
      <c r="S246" s="18" t="s">
        <v>30</v>
      </c>
      <c r="T246" s="18" t="s">
        <v>35</v>
      </c>
      <c r="U246" s="18" t="s">
        <v>72</v>
      </c>
      <c r="V246" s="18" t="s">
        <v>73</v>
      </c>
      <c r="W246" s="19">
        <v>12.75</v>
      </c>
      <c r="X246" s="18">
        <v>61</v>
      </c>
      <c r="Y246" s="19">
        <v>777.75</v>
      </c>
      <c r="Z246" s="20">
        <v>78.552750000000003</v>
      </c>
    </row>
    <row r="247" spans="1:26" x14ac:dyDescent="0.25">
      <c r="A247" s="16">
        <v>1285</v>
      </c>
      <c r="B247" s="17">
        <v>41922</v>
      </c>
      <c r="C247" s="18">
        <v>10</v>
      </c>
      <c r="D247" s="18" t="s">
        <v>97</v>
      </c>
      <c r="E247" s="18" t="s">
        <v>98</v>
      </c>
      <c r="F247" s="18" t="s">
        <v>99</v>
      </c>
      <c r="G247" s="18" t="s">
        <v>100</v>
      </c>
      <c r="H247" s="18">
        <v>99999</v>
      </c>
      <c r="I247" s="18" t="s">
        <v>30</v>
      </c>
      <c r="J247" s="18" t="s">
        <v>101</v>
      </c>
      <c r="K247" s="18" t="s">
        <v>45</v>
      </c>
      <c r="L247" s="17">
        <v>41924</v>
      </c>
      <c r="M247" s="18" t="s">
        <v>33</v>
      </c>
      <c r="N247" s="18" t="s">
        <v>102</v>
      </c>
      <c r="O247" s="18" t="s">
        <v>98</v>
      </c>
      <c r="P247" s="18" t="s">
        <v>99</v>
      </c>
      <c r="Q247" s="18" t="s">
        <v>100</v>
      </c>
      <c r="R247" s="18">
        <v>99999</v>
      </c>
      <c r="S247" s="18" t="s">
        <v>30</v>
      </c>
      <c r="T247" s="18" t="s">
        <v>48</v>
      </c>
      <c r="U247" s="18" t="s">
        <v>103</v>
      </c>
      <c r="V247" s="18" t="s">
        <v>37</v>
      </c>
      <c r="W247" s="19">
        <v>2.99</v>
      </c>
      <c r="X247" s="18">
        <v>32</v>
      </c>
      <c r="Y247" s="19">
        <v>95.68</v>
      </c>
      <c r="Z247" s="20">
        <v>9.7593600000000009</v>
      </c>
    </row>
    <row r="248" spans="1:26" x14ac:dyDescent="0.25">
      <c r="A248" s="16">
        <v>1286</v>
      </c>
      <c r="B248" s="17">
        <v>41919</v>
      </c>
      <c r="C248" s="18">
        <v>7</v>
      </c>
      <c r="D248" s="18" t="s">
        <v>104</v>
      </c>
      <c r="E248" s="18" t="s">
        <v>105</v>
      </c>
      <c r="F248" s="18" t="s">
        <v>106</v>
      </c>
      <c r="G248" s="18" t="s">
        <v>107</v>
      </c>
      <c r="H248" s="18">
        <v>99999</v>
      </c>
      <c r="I248" s="18" t="s">
        <v>30</v>
      </c>
      <c r="J248" s="18" t="s">
        <v>60</v>
      </c>
      <c r="K248" s="18" t="s">
        <v>61</v>
      </c>
      <c r="L248" s="17"/>
      <c r="M248" s="18"/>
      <c r="N248" s="18" t="s">
        <v>108</v>
      </c>
      <c r="O248" s="18" t="s">
        <v>105</v>
      </c>
      <c r="P248" s="18" t="s">
        <v>106</v>
      </c>
      <c r="Q248" s="18" t="s">
        <v>107</v>
      </c>
      <c r="R248" s="18">
        <v>99999</v>
      </c>
      <c r="S248" s="18" t="s">
        <v>30</v>
      </c>
      <c r="T248" s="18"/>
      <c r="U248" s="18" t="s">
        <v>55</v>
      </c>
      <c r="V248" s="18" t="s">
        <v>37</v>
      </c>
      <c r="W248" s="19">
        <v>46</v>
      </c>
      <c r="X248" s="18">
        <v>62</v>
      </c>
      <c r="Y248" s="19">
        <v>2852</v>
      </c>
      <c r="Z248" s="20">
        <v>290.904</v>
      </c>
    </row>
    <row r="249" spans="1:26" x14ac:dyDescent="0.25">
      <c r="A249" s="16">
        <v>1287</v>
      </c>
      <c r="B249" s="17">
        <v>41922</v>
      </c>
      <c r="C249" s="18">
        <v>10</v>
      </c>
      <c r="D249" s="18" t="s">
        <v>97</v>
      </c>
      <c r="E249" s="18" t="s">
        <v>98</v>
      </c>
      <c r="F249" s="18" t="s">
        <v>99</v>
      </c>
      <c r="G249" s="18" t="s">
        <v>100</v>
      </c>
      <c r="H249" s="18">
        <v>99999</v>
      </c>
      <c r="I249" s="18" t="s">
        <v>30</v>
      </c>
      <c r="J249" s="18" t="s">
        <v>101</v>
      </c>
      <c r="K249" s="18" t="s">
        <v>45</v>
      </c>
      <c r="L249" s="17">
        <v>41924</v>
      </c>
      <c r="M249" s="18" t="s">
        <v>46</v>
      </c>
      <c r="N249" s="18" t="s">
        <v>102</v>
      </c>
      <c r="O249" s="18" t="s">
        <v>98</v>
      </c>
      <c r="P249" s="18" t="s">
        <v>99</v>
      </c>
      <c r="Q249" s="18" t="s">
        <v>100</v>
      </c>
      <c r="R249" s="18">
        <v>99999</v>
      </c>
      <c r="S249" s="18" t="s">
        <v>30</v>
      </c>
      <c r="T249" s="18"/>
      <c r="U249" s="18" t="s">
        <v>109</v>
      </c>
      <c r="V249" s="18" t="s">
        <v>110</v>
      </c>
      <c r="W249" s="19">
        <v>25</v>
      </c>
      <c r="X249" s="18">
        <v>60</v>
      </c>
      <c r="Y249" s="19">
        <v>1500</v>
      </c>
      <c r="Z249" s="20">
        <v>154.5</v>
      </c>
    </row>
    <row r="250" spans="1:26" x14ac:dyDescent="0.25">
      <c r="A250" s="16">
        <v>1288</v>
      </c>
      <c r="B250" s="17">
        <v>41922</v>
      </c>
      <c r="C250" s="18">
        <v>10</v>
      </c>
      <c r="D250" s="18" t="s">
        <v>97</v>
      </c>
      <c r="E250" s="18" t="s">
        <v>98</v>
      </c>
      <c r="F250" s="18" t="s">
        <v>99</v>
      </c>
      <c r="G250" s="18" t="s">
        <v>100</v>
      </c>
      <c r="H250" s="18">
        <v>99999</v>
      </c>
      <c r="I250" s="18" t="s">
        <v>30</v>
      </c>
      <c r="J250" s="18" t="s">
        <v>101</v>
      </c>
      <c r="K250" s="18" t="s">
        <v>45</v>
      </c>
      <c r="L250" s="17">
        <v>41924</v>
      </c>
      <c r="M250" s="18" t="s">
        <v>46</v>
      </c>
      <c r="N250" s="18" t="s">
        <v>102</v>
      </c>
      <c r="O250" s="18" t="s">
        <v>98</v>
      </c>
      <c r="P250" s="18" t="s">
        <v>99</v>
      </c>
      <c r="Q250" s="18" t="s">
        <v>100</v>
      </c>
      <c r="R250" s="18">
        <v>99999</v>
      </c>
      <c r="S250" s="18" t="s">
        <v>30</v>
      </c>
      <c r="T250" s="18"/>
      <c r="U250" s="18" t="s">
        <v>111</v>
      </c>
      <c r="V250" s="18" t="s">
        <v>112</v>
      </c>
      <c r="W250" s="19">
        <v>22</v>
      </c>
      <c r="X250" s="18">
        <v>51</v>
      </c>
      <c r="Y250" s="19">
        <v>1122</v>
      </c>
      <c r="Z250" s="20">
        <v>109.956</v>
      </c>
    </row>
    <row r="251" spans="1:26" x14ac:dyDescent="0.25">
      <c r="A251" s="16">
        <v>1289</v>
      </c>
      <c r="B251" s="17">
        <v>41922</v>
      </c>
      <c r="C251" s="18">
        <v>10</v>
      </c>
      <c r="D251" s="18" t="s">
        <v>97</v>
      </c>
      <c r="E251" s="18" t="s">
        <v>98</v>
      </c>
      <c r="F251" s="18" t="s">
        <v>99</v>
      </c>
      <c r="G251" s="18" t="s">
        <v>100</v>
      </c>
      <c r="H251" s="18">
        <v>99999</v>
      </c>
      <c r="I251" s="18" t="s">
        <v>30</v>
      </c>
      <c r="J251" s="18" t="s">
        <v>101</v>
      </c>
      <c r="K251" s="18" t="s">
        <v>45</v>
      </c>
      <c r="L251" s="17">
        <v>41924</v>
      </c>
      <c r="M251" s="18" t="s">
        <v>46</v>
      </c>
      <c r="N251" s="18" t="s">
        <v>102</v>
      </c>
      <c r="O251" s="18" t="s">
        <v>98</v>
      </c>
      <c r="P251" s="18" t="s">
        <v>99</v>
      </c>
      <c r="Q251" s="18" t="s">
        <v>100</v>
      </c>
      <c r="R251" s="18">
        <v>99999</v>
      </c>
      <c r="S251" s="18" t="s">
        <v>30</v>
      </c>
      <c r="T251" s="18"/>
      <c r="U251" s="18" t="s">
        <v>64</v>
      </c>
      <c r="V251" s="18" t="s">
        <v>65</v>
      </c>
      <c r="W251" s="19">
        <v>9.1999999999999993</v>
      </c>
      <c r="X251" s="18">
        <v>49</v>
      </c>
      <c r="Y251" s="19">
        <v>450.79999999999995</v>
      </c>
      <c r="Z251" s="20">
        <v>44.629199999999997</v>
      </c>
    </row>
    <row r="252" spans="1:26" x14ac:dyDescent="0.25">
      <c r="A252" s="16">
        <v>1290</v>
      </c>
      <c r="B252" s="17">
        <v>41923</v>
      </c>
      <c r="C252" s="18">
        <v>11</v>
      </c>
      <c r="D252" s="18" t="s">
        <v>113</v>
      </c>
      <c r="E252" s="18" t="s">
        <v>114</v>
      </c>
      <c r="F252" s="18" t="s">
        <v>115</v>
      </c>
      <c r="G252" s="18" t="s">
        <v>116</v>
      </c>
      <c r="H252" s="18">
        <v>99999</v>
      </c>
      <c r="I252" s="18" t="s">
        <v>30</v>
      </c>
      <c r="J252" s="18" t="s">
        <v>94</v>
      </c>
      <c r="K252" s="18" t="s">
        <v>95</v>
      </c>
      <c r="L252" s="18"/>
      <c r="M252" s="18" t="s">
        <v>62</v>
      </c>
      <c r="N252" s="18" t="s">
        <v>117</v>
      </c>
      <c r="O252" s="18" t="s">
        <v>114</v>
      </c>
      <c r="P252" s="18" t="s">
        <v>115</v>
      </c>
      <c r="Q252" s="18" t="s">
        <v>116</v>
      </c>
      <c r="R252" s="18">
        <v>99999</v>
      </c>
      <c r="S252" s="18" t="s">
        <v>30</v>
      </c>
      <c r="T252" s="18"/>
      <c r="U252" s="18" t="s">
        <v>38</v>
      </c>
      <c r="V252" s="18" t="s">
        <v>39</v>
      </c>
      <c r="W252" s="19">
        <v>3.5</v>
      </c>
      <c r="X252" s="18">
        <v>20</v>
      </c>
      <c r="Y252" s="19">
        <v>70</v>
      </c>
      <c r="Z252" s="20">
        <v>6.93</v>
      </c>
    </row>
    <row r="253" spans="1:26" x14ac:dyDescent="0.25">
      <c r="A253" s="16">
        <v>1291</v>
      </c>
      <c r="B253" s="17">
        <v>41923</v>
      </c>
      <c r="C253" s="18">
        <v>11</v>
      </c>
      <c r="D253" s="18" t="s">
        <v>113</v>
      </c>
      <c r="E253" s="18" t="s">
        <v>114</v>
      </c>
      <c r="F253" s="18" t="s">
        <v>115</v>
      </c>
      <c r="G253" s="18" t="s">
        <v>116</v>
      </c>
      <c r="H253" s="18">
        <v>99999</v>
      </c>
      <c r="I253" s="18" t="s">
        <v>30</v>
      </c>
      <c r="J253" s="18" t="s">
        <v>94</v>
      </c>
      <c r="K253" s="18" t="s">
        <v>95</v>
      </c>
      <c r="L253" s="18"/>
      <c r="M253" s="18" t="s">
        <v>62</v>
      </c>
      <c r="N253" s="18" t="s">
        <v>117</v>
      </c>
      <c r="O253" s="18" t="s">
        <v>114</v>
      </c>
      <c r="P253" s="18" t="s">
        <v>115</v>
      </c>
      <c r="Q253" s="18" t="s">
        <v>116</v>
      </c>
      <c r="R253" s="18">
        <v>99999</v>
      </c>
      <c r="S253" s="18" t="s">
        <v>30</v>
      </c>
      <c r="T253" s="18"/>
      <c r="U253" s="18" t="s">
        <v>103</v>
      </c>
      <c r="V253" s="18" t="s">
        <v>37</v>
      </c>
      <c r="W253" s="19">
        <v>2.99</v>
      </c>
      <c r="X253" s="18">
        <v>49</v>
      </c>
      <c r="Y253" s="19">
        <v>146.51000000000002</v>
      </c>
      <c r="Z253" s="20">
        <v>14.651000000000003</v>
      </c>
    </row>
    <row r="254" spans="1:26" x14ac:dyDescent="0.25">
      <c r="A254" s="16">
        <v>1292</v>
      </c>
      <c r="B254" s="17">
        <v>41913</v>
      </c>
      <c r="C254" s="18">
        <v>1</v>
      </c>
      <c r="D254" s="18" t="s">
        <v>118</v>
      </c>
      <c r="E254" s="18" t="s">
        <v>119</v>
      </c>
      <c r="F254" s="18" t="s">
        <v>120</v>
      </c>
      <c r="G254" s="18" t="s">
        <v>121</v>
      </c>
      <c r="H254" s="18">
        <v>99999</v>
      </c>
      <c r="I254" s="18" t="s">
        <v>30</v>
      </c>
      <c r="J254" s="18" t="s">
        <v>60</v>
      </c>
      <c r="K254" s="18" t="s">
        <v>61</v>
      </c>
      <c r="L254" s="18"/>
      <c r="M254" s="18"/>
      <c r="N254" s="18" t="s">
        <v>122</v>
      </c>
      <c r="O254" s="18" t="s">
        <v>119</v>
      </c>
      <c r="P254" s="18" t="s">
        <v>120</v>
      </c>
      <c r="Q254" s="18" t="s">
        <v>121</v>
      </c>
      <c r="R254" s="18">
        <v>99999</v>
      </c>
      <c r="S254" s="18" t="s">
        <v>30</v>
      </c>
      <c r="T254" s="18"/>
      <c r="U254" s="18" t="s">
        <v>54</v>
      </c>
      <c r="V254" s="18" t="s">
        <v>37</v>
      </c>
      <c r="W254" s="19">
        <v>18</v>
      </c>
      <c r="X254" s="18">
        <v>22</v>
      </c>
      <c r="Y254" s="19">
        <v>396</v>
      </c>
      <c r="Z254" s="20">
        <v>38.015999999999998</v>
      </c>
    </row>
    <row r="255" spans="1:26" x14ac:dyDescent="0.25">
      <c r="A255" s="16">
        <v>1293</v>
      </c>
      <c r="B255" s="17">
        <v>41913</v>
      </c>
      <c r="C255" s="18">
        <v>1</v>
      </c>
      <c r="D255" s="18" t="s">
        <v>118</v>
      </c>
      <c r="E255" s="18" t="s">
        <v>119</v>
      </c>
      <c r="F255" s="18" t="s">
        <v>120</v>
      </c>
      <c r="G255" s="18" t="s">
        <v>121</v>
      </c>
      <c r="H255" s="18">
        <v>99999</v>
      </c>
      <c r="I255" s="18" t="s">
        <v>30</v>
      </c>
      <c r="J255" s="18" t="s">
        <v>60</v>
      </c>
      <c r="K255" s="18" t="s">
        <v>61</v>
      </c>
      <c r="L255" s="18"/>
      <c r="M255" s="18"/>
      <c r="N255" s="18" t="s">
        <v>122</v>
      </c>
      <c r="O255" s="18" t="s">
        <v>119</v>
      </c>
      <c r="P255" s="18" t="s">
        <v>120</v>
      </c>
      <c r="Q255" s="18" t="s">
        <v>121</v>
      </c>
      <c r="R255" s="18">
        <v>99999</v>
      </c>
      <c r="S255" s="18" t="s">
        <v>30</v>
      </c>
      <c r="T255" s="18"/>
      <c r="U255" s="18" t="s">
        <v>55</v>
      </c>
      <c r="V255" s="18" t="s">
        <v>37</v>
      </c>
      <c r="W255" s="19">
        <v>46</v>
      </c>
      <c r="X255" s="18">
        <v>73</v>
      </c>
      <c r="Y255" s="19">
        <v>3358</v>
      </c>
      <c r="Z255" s="20">
        <v>339.15800000000002</v>
      </c>
    </row>
    <row r="256" spans="1:26" x14ac:dyDescent="0.25">
      <c r="A256" s="16">
        <v>1294</v>
      </c>
      <c r="B256" s="17">
        <v>41913</v>
      </c>
      <c r="C256" s="18">
        <v>1</v>
      </c>
      <c r="D256" s="18" t="s">
        <v>118</v>
      </c>
      <c r="E256" s="18" t="s">
        <v>119</v>
      </c>
      <c r="F256" s="18" t="s">
        <v>120</v>
      </c>
      <c r="G256" s="18" t="s">
        <v>121</v>
      </c>
      <c r="H256" s="18">
        <v>99999</v>
      </c>
      <c r="I256" s="18" t="s">
        <v>30</v>
      </c>
      <c r="J256" s="18" t="s">
        <v>60</v>
      </c>
      <c r="K256" s="18" t="s">
        <v>61</v>
      </c>
      <c r="L256" s="18"/>
      <c r="M256" s="18"/>
      <c r="N256" s="18" t="s">
        <v>122</v>
      </c>
      <c r="O256" s="18" t="s">
        <v>119</v>
      </c>
      <c r="P256" s="18" t="s">
        <v>120</v>
      </c>
      <c r="Q256" s="18" t="s">
        <v>121</v>
      </c>
      <c r="R256" s="18">
        <v>99999</v>
      </c>
      <c r="S256" s="18" t="s">
        <v>30</v>
      </c>
      <c r="T256" s="18"/>
      <c r="U256" s="18" t="s">
        <v>103</v>
      </c>
      <c r="V256" s="18" t="s">
        <v>37</v>
      </c>
      <c r="W256" s="19">
        <v>2.99</v>
      </c>
      <c r="X256" s="18">
        <v>85</v>
      </c>
      <c r="Y256" s="19">
        <v>254.15</v>
      </c>
      <c r="Z256" s="20">
        <v>24.652550000000002</v>
      </c>
    </row>
    <row r="257" spans="1:26" x14ac:dyDescent="0.25">
      <c r="A257" s="16">
        <v>1295</v>
      </c>
      <c r="B257" s="17">
        <v>41940</v>
      </c>
      <c r="C257" s="18">
        <v>28</v>
      </c>
      <c r="D257" s="18" t="s">
        <v>90</v>
      </c>
      <c r="E257" s="18" t="s">
        <v>91</v>
      </c>
      <c r="F257" s="18" t="s">
        <v>92</v>
      </c>
      <c r="G257" s="18" t="s">
        <v>93</v>
      </c>
      <c r="H257" s="18">
        <v>99999</v>
      </c>
      <c r="I257" s="18" t="s">
        <v>30</v>
      </c>
      <c r="J257" s="18" t="s">
        <v>94</v>
      </c>
      <c r="K257" s="18" t="s">
        <v>95</v>
      </c>
      <c r="L257" s="17">
        <v>41942</v>
      </c>
      <c r="M257" s="18" t="s">
        <v>62</v>
      </c>
      <c r="N257" s="18" t="s">
        <v>96</v>
      </c>
      <c r="O257" s="18" t="s">
        <v>91</v>
      </c>
      <c r="P257" s="18" t="s">
        <v>92</v>
      </c>
      <c r="Q257" s="18" t="s">
        <v>93</v>
      </c>
      <c r="R257" s="18">
        <v>99999</v>
      </c>
      <c r="S257" s="18" t="s">
        <v>30</v>
      </c>
      <c r="T257" s="18" t="s">
        <v>48</v>
      </c>
      <c r="U257" s="18" t="s">
        <v>80</v>
      </c>
      <c r="V257" s="18" t="s">
        <v>81</v>
      </c>
      <c r="W257" s="19">
        <v>9.65</v>
      </c>
      <c r="X257" s="18">
        <v>44</v>
      </c>
      <c r="Y257" s="19">
        <v>424.6</v>
      </c>
      <c r="Z257" s="20">
        <v>44.158400000000007</v>
      </c>
    </row>
    <row r="258" spans="1:26" x14ac:dyDescent="0.25">
      <c r="A258" s="16">
        <v>1296</v>
      </c>
      <c r="B258" s="17">
        <v>41940</v>
      </c>
      <c r="C258" s="18">
        <v>28</v>
      </c>
      <c r="D258" s="18" t="s">
        <v>90</v>
      </c>
      <c r="E258" s="18" t="s">
        <v>91</v>
      </c>
      <c r="F258" s="18" t="s">
        <v>92</v>
      </c>
      <c r="G258" s="18" t="s">
        <v>93</v>
      </c>
      <c r="H258" s="18">
        <v>99999</v>
      </c>
      <c r="I258" s="18" t="s">
        <v>30</v>
      </c>
      <c r="J258" s="18" t="s">
        <v>94</v>
      </c>
      <c r="K258" s="18" t="s">
        <v>95</v>
      </c>
      <c r="L258" s="17">
        <v>41942</v>
      </c>
      <c r="M258" s="18" t="s">
        <v>62</v>
      </c>
      <c r="N258" s="18" t="s">
        <v>96</v>
      </c>
      <c r="O258" s="18" t="s">
        <v>91</v>
      </c>
      <c r="P258" s="18" t="s">
        <v>92</v>
      </c>
      <c r="Q258" s="18" t="s">
        <v>93</v>
      </c>
      <c r="R258" s="18">
        <v>99999</v>
      </c>
      <c r="S258" s="18" t="s">
        <v>30</v>
      </c>
      <c r="T258" s="18" t="s">
        <v>48</v>
      </c>
      <c r="U258" s="18" t="s">
        <v>123</v>
      </c>
      <c r="V258" s="18" t="s">
        <v>124</v>
      </c>
      <c r="W258" s="19">
        <v>18.399999999999999</v>
      </c>
      <c r="X258" s="18">
        <v>24</v>
      </c>
      <c r="Y258" s="19">
        <v>441.59999999999997</v>
      </c>
      <c r="Z258" s="20">
        <v>42.835199999999993</v>
      </c>
    </row>
    <row r="259" spans="1:26" x14ac:dyDescent="0.25">
      <c r="A259" s="16">
        <v>1297</v>
      </c>
      <c r="B259" s="17">
        <v>41921</v>
      </c>
      <c r="C259" s="18">
        <v>9</v>
      </c>
      <c r="D259" s="18" t="s">
        <v>125</v>
      </c>
      <c r="E259" s="18" t="s">
        <v>126</v>
      </c>
      <c r="F259" s="18" t="s">
        <v>127</v>
      </c>
      <c r="G259" s="18" t="s">
        <v>128</v>
      </c>
      <c r="H259" s="18">
        <v>99999</v>
      </c>
      <c r="I259" s="18" t="s">
        <v>30</v>
      </c>
      <c r="J259" s="18" t="s">
        <v>129</v>
      </c>
      <c r="K259" s="18" t="s">
        <v>32</v>
      </c>
      <c r="L259" s="17">
        <v>41923</v>
      </c>
      <c r="M259" s="18" t="s">
        <v>46</v>
      </c>
      <c r="N259" s="18" t="s">
        <v>130</v>
      </c>
      <c r="O259" s="18" t="s">
        <v>126</v>
      </c>
      <c r="P259" s="18" t="s">
        <v>127</v>
      </c>
      <c r="Q259" s="18" t="s">
        <v>128</v>
      </c>
      <c r="R259" s="18">
        <v>99999</v>
      </c>
      <c r="S259" s="18" t="s">
        <v>30</v>
      </c>
      <c r="T259" s="18" t="s">
        <v>35</v>
      </c>
      <c r="U259" s="18" t="s">
        <v>131</v>
      </c>
      <c r="V259" s="18" t="s">
        <v>132</v>
      </c>
      <c r="W259" s="19">
        <v>19.5</v>
      </c>
      <c r="X259" s="18">
        <v>64</v>
      </c>
      <c r="Y259" s="19">
        <v>1248</v>
      </c>
      <c r="Z259" s="20">
        <v>119.80800000000001</v>
      </c>
    </row>
    <row r="260" spans="1:26" x14ac:dyDescent="0.25">
      <c r="A260" s="16">
        <v>1298</v>
      </c>
      <c r="B260" s="17">
        <v>41921</v>
      </c>
      <c r="C260" s="18">
        <v>9</v>
      </c>
      <c r="D260" s="18" t="s">
        <v>125</v>
      </c>
      <c r="E260" s="18" t="s">
        <v>126</v>
      </c>
      <c r="F260" s="18" t="s">
        <v>127</v>
      </c>
      <c r="G260" s="18" t="s">
        <v>128</v>
      </c>
      <c r="H260" s="18">
        <v>99999</v>
      </c>
      <c r="I260" s="18" t="s">
        <v>30</v>
      </c>
      <c r="J260" s="18" t="s">
        <v>129</v>
      </c>
      <c r="K260" s="18" t="s">
        <v>32</v>
      </c>
      <c r="L260" s="17">
        <v>41923</v>
      </c>
      <c r="M260" s="18" t="s">
        <v>46</v>
      </c>
      <c r="N260" s="18" t="s">
        <v>130</v>
      </c>
      <c r="O260" s="18" t="s">
        <v>126</v>
      </c>
      <c r="P260" s="18" t="s">
        <v>127</v>
      </c>
      <c r="Q260" s="18" t="s">
        <v>128</v>
      </c>
      <c r="R260" s="18">
        <v>99999</v>
      </c>
      <c r="S260" s="18" t="s">
        <v>30</v>
      </c>
      <c r="T260" s="18" t="s">
        <v>35</v>
      </c>
      <c r="U260" s="18" t="s">
        <v>133</v>
      </c>
      <c r="V260" s="18" t="s">
        <v>134</v>
      </c>
      <c r="W260" s="19">
        <v>34.799999999999997</v>
      </c>
      <c r="X260" s="18">
        <v>70</v>
      </c>
      <c r="Y260" s="19">
        <v>2436</v>
      </c>
      <c r="Z260" s="20">
        <v>246.03600000000003</v>
      </c>
    </row>
    <row r="261" spans="1:26" x14ac:dyDescent="0.25">
      <c r="A261" s="16">
        <v>1299</v>
      </c>
      <c r="B261" s="17">
        <v>41918</v>
      </c>
      <c r="C261" s="18">
        <v>6</v>
      </c>
      <c r="D261" s="18" t="s">
        <v>82</v>
      </c>
      <c r="E261" s="18" t="s">
        <v>83</v>
      </c>
      <c r="F261" s="18" t="s">
        <v>84</v>
      </c>
      <c r="G261" s="18" t="s">
        <v>85</v>
      </c>
      <c r="H261" s="18">
        <v>99999</v>
      </c>
      <c r="I261" s="18" t="s">
        <v>30</v>
      </c>
      <c r="J261" s="18" t="s">
        <v>86</v>
      </c>
      <c r="K261" s="18" t="s">
        <v>61</v>
      </c>
      <c r="L261" s="17">
        <v>41920</v>
      </c>
      <c r="M261" s="18" t="s">
        <v>33</v>
      </c>
      <c r="N261" s="18" t="s">
        <v>87</v>
      </c>
      <c r="O261" s="18" t="s">
        <v>83</v>
      </c>
      <c r="P261" s="18" t="s">
        <v>84</v>
      </c>
      <c r="Q261" s="18" t="s">
        <v>85</v>
      </c>
      <c r="R261" s="18">
        <v>99999</v>
      </c>
      <c r="S261" s="18" t="s">
        <v>30</v>
      </c>
      <c r="T261" s="18" t="s">
        <v>48</v>
      </c>
      <c r="U261" s="18" t="s">
        <v>36</v>
      </c>
      <c r="V261" s="18" t="s">
        <v>37</v>
      </c>
      <c r="W261" s="19">
        <v>14</v>
      </c>
      <c r="X261" s="18">
        <v>98</v>
      </c>
      <c r="Y261" s="19">
        <v>1372</v>
      </c>
      <c r="Z261" s="20">
        <v>138.57200000000003</v>
      </c>
    </row>
    <row r="262" spans="1:26" x14ac:dyDescent="0.25">
      <c r="A262" s="16">
        <v>1300</v>
      </c>
      <c r="B262" s="17">
        <v>41920</v>
      </c>
      <c r="C262" s="18">
        <v>8</v>
      </c>
      <c r="D262" s="18" t="s">
        <v>56</v>
      </c>
      <c r="E262" s="18" t="s">
        <v>57</v>
      </c>
      <c r="F262" s="18" t="s">
        <v>58</v>
      </c>
      <c r="G262" s="18" t="s">
        <v>59</v>
      </c>
      <c r="H262" s="18">
        <v>99999</v>
      </c>
      <c r="I262" s="18" t="s">
        <v>30</v>
      </c>
      <c r="J262" s="18" t="s">
        <v>60</v>
      </c>
      <c r="K262" s="18" t="s">
        <v>61</v>
      </c>
      <c r="L262" s="17">
        <v>41922</v>
      </c>
      <c r="M262" s="18" t="s">
        <v>33</v>
      </c>
      <c r="N262" s="18" t="s">
        <v>63</v>
      </c>
      <c r="O262" s="18" t="s">
        <v>57</v>
      </c>
      <c r="P262" s="18" t="s">
        <v>58</v>
      </c>
      <c r="Q262" s="18" t="s">
        <v>59</v>
      </c>
      <c r="R262" s="18">
        <v>99999</v>
      </c>
      <c r="S262" s="18" t="s">
        <v>30</v>
      </c>
      <c r="T262" s="18" t="s">
        <v>35</v>
      </c>
      <c r="U262" s="18" t="s">
        <v>88</v>
      </c>
      <c r="V262" s="18" t="s">
        <v>89</v>
      </c>
      <c r="W262" s="19">
        <v>40</v>
      </c>
      <c r="X262" s="18">
        <v>48</v>
      </c>
      <c r="Y262" s="19">
        <v>1920</v>
      </c>
      <c r="Z262" s="20">
        <v>188.16</v>
      </c>
    </row>
    <row r="263" spans="1:26" x14ac:dyDescent="0.25">
      <c r="A263" s="16">
        <v>1301</v>
      </c>
      <c r="B263" s="17">
        <v>41920</v>
      </c>
      <c r="C263" s="18">
        <v>8</v>
      </c>
      <c r="D263" s="18" t="s">
        <v>56</v>
      </c>
      <c r="E263" s="18" t="s">
        <v>57</v>
      </c>
      <c r="F263" s="18" t="s">
        <v>58</v>
      </c>
      <c r="G263" s="18" t="s">
        <v>59</v>
      </c>
      <c r="H263" s="18">
        <v>99999</v>
      </c>
      <c r="I263" s="18" t="s">
        <v>30</v>
      </c>
      <c r="J263" s="18" t="s">
        <v>60</v>
      </c>
      <c r="K263" s="18" t="s">
        <v>61</v>
      </c>
      <c r="L263" s="17">
        <v>41922</v>
      </c>
      <c r="M263" s="18" t="s">
        <v>33</v>
      </c>
      <c r="N263" s="18" t="s">
        <v>63</v>
      </c>
      <c r="O263" s="18" t="s">
        <v>57</v>
      </c>
      <c r="P263" s="18" t="s">
        <v>58</v>
      </c>
      <c r="Q263" s="18" t="s">
        <v>59</v>
      </c>
      <c r="R263" s="18">
        <v>99999</v>
      </c>
      <c r="S263" s="18" t="s">
        <v>30</v>
      </c>
      <c r="T263" s="18" t="s">
        <v>35</v>
      </c>
      <c r="U263" s="18" t="s">
        <v>64</v>
      </c>
      <c r="V263" s="18" t="s">
        <v>65</v>
      </c>
      <c r="W263" s="19">
        <v>9.1999999999999993</v>
      </c>
      <c r="X263" s="18">
        <v>100</v>
      </c>
      <c r="Y263" s="19">
        <v>919.99999999999989</v>
      </c>
      <c r="Z263" s="20">
        <v>91.08</v>
      </c>
    </row>
    <row r="264" spans="1:26" x14ac:dyDescent="0.25">
      <c r="A264" s="16">
        <v>1302</v>
      </c>
      <c r="B264" s="17">
        <v>41937</v>
      </c>
      <c r="C264" s="18">
        <v>25</v>
      </c>
      <c r="D264" s="18" t="s">
        <v>137</v>
      </c>
      <c r="E264" s="18" t="s">
        <v>138</v>
      </c>
      <c r="F264" s="18" t="s">
        <v>99</v>
      </c>
      <c r="G264" s="18" t="s">
        <v>100</v>
      </c>
      <c r="H264" s="18">
        <v>99999</v>
      </c>
      <c r="I264" s="18" t="s">
        <v>30</v>
      </c>
      <c r="J264" s="18" t="s">
        <v>101</v>
      </c>
      <c r="K264" s="18" t="s">
        <v>45</v>
      </c>
      <c r="L264" s="17">
        <v>41939</v>
      </c>
      <c r="M264" s="18" t="s">
        <v>46</v>
      </c>
      <c r="N264" s="18" t="s">
        <v>139</v>
      </c>
      <c r="O264" s="18" t="s">
        <v>138</v>
      </c>
      <c r="P264" s="18" t="s">
        <v>99</v>
      </c>
      <c r="Q264" s="18" t="s">
        <v>100</v>
      </c>
      <c r="R264" s="18">
        <v>99999</v>
      </c>
      <c r="S264" s="18" t="s">
        <v>30</v>
      </c>
      <c r="T264" s="18" t="s">
        <v>79</v>
      </c>
      <c r="U264" s="18" t="s">
        <v>146</v>
      </c>
      <c r="V264" s="18" t="s">
        <v>65</v>
      </c>
      <c r="W264" s="19">
        <v>10</v>
      </c>
      <c r="X264" s="18">
        <v>90</v>
      </c>
      <c r="Y264" s="19">
        <v>900</v>
      </c>
      <c r="Z264" s="20">
        <v>87.3</v>
      </c>
    </row>
    <row r="265" spans="1:26" x14ac:dyDescent="0.25">
      <c r="A265" s="16">
        <v>1303</v>
      </c>
      <c r="B265" s="17">
        <v>41938</v>
      </c>
      <c r="C265" s="18">
        <v>26</v>
      </c>
      <c r="D265" s="18" t="s">
        <v>140</v>
      </c>
      <c r="E265" s="18" t="s">
        <v>141</v>
      </c>
      <c r="F265" s="18" t="s">
        <v>115</v>
      </c>
      <c r="G265" s="18" t="s">
        <v>116</v>
      </c>
      <c r="H265" s="18">
        <v>99999</v>
      </c>
      <c r="I265" s="18" t="s">
        <v>30</v>
      </c>
      <c r="J265" s="18" t="s">
        <v>94</v>
      </c>
      <c r="K265" s="18" t="s">
        <v>95</v>
      </c>
      <c r="L265" s="17">
        <v>41940</v>
      </c>
      <c r="M265" s="18" t="s">
        <v>62</v>
      </c>
      <c r="N265" s="18" t="s">
        <v>142</v>
      </c>
      <c r="O265" s="18" t="s">
        <v>141</v>
      </c>
      <c r="P265" s="18" t="s">
        <v>115</v>
      </c>
      <c r="Q265" s="18" t="s">
        <v>116</v>
      </c>
      <c r="R265" s="18">
        <v>99999</v>
      </c>
      <c r="S265" s="18" t="s">
        <v>30</v>
      </c>
      <c r="T265" s="18" t="s">
        <v>48</v>
      </c>
      <c r="U265" s="18" t="s">
        <v>147</v>
      </c>
      <c r="V265" s="18" t="s">
        <v>148</v>
      </c>
      <c r="W265" s="19">
        <v>21.35</v>
      </c>
      <c r="X265" s="18">
        <v>49</v>
      </c>
      <c r="Y265" s="19">
        <v>1046.1500000000001</v>
      </c>
      <c r="Z265" s="20">
        <v>102.5227</v>
      </c>
    </row>
    <row r="266" spans="1:26" x14ac:dyDescent="0.25">
      <c r="A266" s="16">
        <v>1304</v>
      </c>
      <c r="B266" s="17">
        <v>41938</v>
      </c>
      <c r="C266" s="18">
        <v>26</v>
      </c>
      <c r="D266" s="18" t="s">
        <v>140</v>
      </c>
      <c r="E266" s="18" t="s">
        <v>141</v>
      </c>
      <c r="F266" s="18" t="s">
        <v>115</v>
      </c>
      <c r="G266" s="18" t="s">
        <v>116</v>
      </c>
      <c r="H266" s="18">
        <v>99999</v>
      </c>
      <c r="I266" s="18" t="s">
        <v>30</v>
      </c>
      <c r="J266" s="18" t="s">
        <v>94</v>
      </c>
      <c r="K266" s="18" t="s">
        <v>95</v>
      </c>
      <c r="L266" s="17">
        <v>41940</v>
      </c>
      <c r="M266" s="18" t="s">
        <v>62</v>
      </c>
      <c r="N266" s="18" t="s">
        <v>142</v>
      </c>
      <c r="O266" s="18" t="s">
        <v>141</v>
      </c>
      <c r="P266" s="18" t="s">
        <v>115</v>
      </c>
      <c r="Q266" s="18" t="s">
        <v>116</v>
      </c>
      <c r="R266" s="18">
        <v>99999</v>
      </c>
      <c r="S266" s="18" t="s">
        <v>30</v>
      </c>
      <c r="T266" s="18" t="s">
        <v>48</v>
      </c>
      <c r="U266" s="18" t="s">
        <v>80</v>
      </c>
      <c r="V266" s="18" t="s">
        <v>81</v>
      </c>
      <c r="W266" s="19">
        <v>9.65</v>
      </c>
      <c r="X266" s="18">
        <v>71</v>
      </c>
      <c r="Y266" s="19">
        <v>685.15</v>
      </c>
      <c r="Z266" s="20">
        <v>65.7744</v>
      </c>
    </row>
    <row r="267" spans="1:26" x14ac:dyDescent="0.25">
      <c r="A267" s="16">
        <v>1305</v>
      </c>
      <c r="B267" s="17">
        <v>41938</v>
      </c>
      <c r="C267" s="18">
        <v>26</v>
      </c>
      <c r="D267" s="18" t="s">
        <v>140</v>
      </c>
      <c r="E267" s="18" t="s">
        <v>141</v>
      </c>
      <c r="F267" s="18" t="s">
        <v>115</v>
      </c>
      <c r="G267" s="18" t="s">
        <v>116</v>
      </c>
      <c r="H267" s="18">
        <v>99999</v>
      </c>
      <c r="I267" s="18" t="s">
        <v>30</v>
      </c>
      <c r="J267" s="18" t="s">
        <v>94</v>
      </c>
      <c r="K267" s="18" t="s">
        <v>95</v>
      </c>
      <c r="L267" s="17">
        <v>41940</v>
      </c>
      <c r="M267" s="18" t="s">
        <v>62</v>
      </c>
      <c r="N267" s="18" t="s">
        <v>142</v>
      </c>
      <c r="O267" s="18" t="s">
        <v>141</v>
      </c>
      <c r="P267" s="18" t="s">
        <v>115</v>
      </c>
      <c r="Q267" s="18" t="s">
        <v>116</v>
      </c>
      <c r="R267" s="18">
        <v>99999</v>
      </c>
      <c r="S267" s="18" t="s">
        <v>30</v>
      </c>
      <c r="T267" s="18" t="s">
        <v>48</v>
      </c>
      <c r="U267" s="18" t="s">
        <v>123</v>
      </c>
      <c r="V267" s="18" t="s">
        <v>124</v>
      </c>
      <c r="W267" s="19">
        <v>18.399999999999999</v>
      </c>
      <c r="X267" s="18">
        <v>10</v>
      </c>
      <c r="Y267" s="19">
        <v>184</v>
      </c>
      <c r="Z267" s="20">
        <v>19.136000000000003</v>
      </c>
    </row>
    <row r="268" spans="1:26" x14ac:dyDescent="0.25">
      <c r="A268" s="16">
        <v>1306</v>
      </c>
      <c r="B268" s="17">
        <v>41941</v>
      </c>
      <c r="C268" s="18">
        <v>29</v>
      </c>
      <c r="D268" s="18" t="s">
        <v>66</v>
      </c>
      <c r="E268" s="18" t="s">
        <v>67</v>
      </c>
      <c r="F268" s="18" t="s">
        <v>68</v>
      </c>
      <c r="G268" s="18" t="s">
        <v>69</v>
      </c>
      <c r="H268" s="18">
        <v>99999</v>
      </c>
      <c r="I268" s="18" t="s">
        <v>30</v>
      </c>
      <c r="J268" s="18" t="s">
        <v>70</v>
      </c>
      <c r="K268" s="18" t="s">
        <v>32</v>
      </c>
      <c r="L268" s="17">
        <v>41943</v>
      </c>
      <c r="M268" s="18" t="s">
        <v>33</v>
      </c>
      <c r="N268" s="18" t="s">
        <v>71</v>
      </c>
      <c r="O268" s="18" t="s">
        <v>67</v>
      </c>
      <c r="P268" s="18" t="s">
        <v>68</v>
      </c>
      <c r="Q268" s="18" t="s">
        <v>69</v>
      </c>
      <c r="R268" s="18">
        <v>99999</v>
      </c>
      <c r="S268" s="18" t="s">
        <v>30</v>
      </c>
      <c r="T268" s="18" t="s">
        <v>35</v>
      </c>
      <c r="U268" s="18" t="s">
        <v>36</v>
      </c>
      <c r="V268" s="18" t="s">
        <v>37</v>
      </c>
      <c r="W268" s="19">
        <v>14</v>
      </c>
      <c r="X268" s="18">
        <v>78</v>
      </c>
      <c r="Y268" s="19">
        <v>1092</v>
      </c>
      <c r="Z268" s="20">
        <v>112.476</v>
      </c>
    </row>
    <row r="269" spans="1:26" x14ac:dyDescent="0.25">
      <c r="A269" s="16">
        <v>1307</v>
      </c>
      <c r="B269" s="17">
        <v>41918</v>
      </c>
      <c r="C269" s="18">
        <v>6</v>
      </c>
      <c r="D269" s="18" t="s">
        <v>82</v>
      </c>
      <c r="E269" s="18" t="s">
        <v>83</v>
      </c>
      <c r="F269" s="18" t="s">
        <v>84</v>
      </c>
      <c r="G269" s="18" t="s">
        <v>85</v>
      </c>
      <c r="H269" s="18">
        <v>99999</v>
      </c>
      <c r="I269" s="18" t="s">
        <v>30</v>
      </c>
      <c r="J269" s="18" t="s">
        <v>86</v>
      </c>
      <c r="K269" s="18" t="s">
        <v>61</v>
      </c>
      <c r="L269" s="17">
        <v>41920</v>
      </c>
      <c r="M269" s="18" t="s">
        <v>62</v>
      </c>
      <c r="N269" s="18" t="s">
        <v>87</v>
      </c>
      <c r="O269" s="18" t="s">
        <v>83</v>
      </c>
      <c r="P269" s="18" t="s">
        <v>84</v>
      </c>
      <c r="Q269" s="18" t="s">
        <v>85</v>
      </c>
      <c r="R269" s="18">
        <v>99999</v>
      </c>
      <c r="S269" s="18" t="s">
        <v>30</v>
      </c>
      <c r="T269" s="18" t="s">
        <v>35</v>
      </c>
      <c r="U269" s="18" t="s">
        <v>72</v>
      </c>
      <c r="V269" s="18" t="s">
        <v>73</v>
      </c>
      <c r="W269" s="19">
        <v>12.75</v>
      </c>
      <c r="X269" s="18">
        <v>44</v>
      </c>
      <c r="Y269" s="19">
        <v>561</v>
      </c>
      <c r="Z269" s="20">
        <v>53.856000000000002</v>
      </c>
    </row>
    <row r="270" spans="1:26" x14ac:dyDescent="0.25">
      <c r="A270" s="16">
        <v>1309</v>
      </c>
      <c r="B270" s="17">
        <v>41916</v>
      </c>
      <c r="C270" s="18">
        <v>4</v>
      </c>
      <c r="D270" s="18" t="s">
        <v>40</v>
      </c>
      <c r="E270" s="18" t="s">
        <v>41</v>
      </c>
      <c r="F270" s="18" t="s">
        <v>42</v>
      </c>
      <c r="G270" s="18" t="s">
        <v>43</v>
      </c>
      <c r="H270" s="18">
        <v>99999</v>
      </c>
      <c r="I270" s="18" t="s">
        <v>30</v>
      </c>
      <c r="J270" s="18" t="s">
        <v>44</v>
      </c>
      <c r="K270" s="18" t="s">
        <v>45</v>
      </c>
      <c r="L270" s="17">
        <v>41918</v>
      </c>
      <c r="M270" s="18" t="s">
        <v>46</v>
      </c>
      <c r="N270" s="18" t="s">
        <v>47</v>
      </c>
      <c r="O270" s="18" t="s">
        <v>41</v>
      </c>
      <c r="P270" s="18" t="s">
        <v>42</v>
      </c>
      <c r="Q270" s="18" t="s">
        <v>43</v>
      </c>
      <c r="R270" s="18">
        <v>99999</v>
      </c>
      <c r="S270" s="18" t="s">
        <v>30</v>
      </c>
      <c r="T270" s="18" t="s">
        <v>48</v>
      </c>
      <c r="U270" s="18" t="s">
        <v>149</v>
      </c>
      <c r="V270" s="18" t="s">
        <v>110</v>
      </c>
      <c r="W270" s="19">
        <v>81</v>
      </c>
      <c r="X270" s="18">
        <v>82</v>
      </c>
      <c r="Y270" s="19">
        <v>6642</v>
      </c>
      <c r="Z270" s="20">
        <v>697.41000000000008</v>
      </c>
    </row>
    <row r="271" spans="1:26" x14ac:dyDescent="0.25">
      <c r="A271" s="16">
        <v>1310</v>
      </c>
      <c r="B271" s="17">
        <v>41916</v>
      </c>
      <c r="C271" s="18">
        <v>4</v>
      </c>
      <c r="D271" s="18" t="s">
        <v>40</v>
      </c>
      <c r="E271" s="18" t="s">
        <v>41</v>
      </c>
      <c r="F271" s="18" t="s">
        <v>42</v>
      </c>
      <c r="G271" s="18" t="s">
        <v>43</v>
      </c>
      <c r="H271" s="18">
        <v>99999</v>
      </c>
      <c r="I271" s="18" t="s">
        <v>30</v>
      </c>
      <c r="J271" s="18" t="s">
        <v>44</v>
      </c>
      <c r="K271" s="18" t="s">
        <v>45</v>
      </c>
      <c r="L271" s="17">
        <v>41918</v>
      </c>
      <c r="M271" s="18" t="s">
        <v>46</v>
      </c>
      <c r="N271" s="18" t="s">
        <v>47</v>
      </c>
      <c r="O271" s="18" t="s">
        <v>41</v>
      </c>
      <c r="P271" s="18" t="s">
        <v>42</v>
      </c>
      <c r="Q271" s="18" t="s">
        <v>43</v>
      </c>
      <c r="R271" s="18">
        <v>99999</v>
      </c>
      <c r="S271" s="18" t="s">
        <v>30</v>
      </c>
      <c r="T271" s="18" t="s">
        <v>48</v>
      </c>
      <c r="U271" s="18" t="s">
        <v>150</v>
      </c>
      <c r="V271" s="18" t="s">
        <v>151</v>
      </c>
      <c r="W271" s="19">
        <v>7</v>
      </c>
      <c r="X271" s="18">
        <v>29</v>
      </c>
      <c r="Y271" s="19">
        <v>203</v>
      </c>
      <c r="Z271" s="20">
        <v>20.3</v>
      </c>
    </row>
    <row r="272" spans="1:26" x14ac:dyDescent="0.25">
      <c r="A272" s="16">
        <v>1312</v>
      </c>
      <c r="B272" s="17">
        <v>41920</v>
      </c>
      <c r="C272" s="18">
        <v>8</v>
      </c>
      <c r="D272" s="18" t="s">
        <v>56</v>
      </c>
      <c r="E272" s="18" t="s">
        <v>57</v>
      </c>
      <c r="F272" s="18" t="s">
        <v>58</v>
      </c>
      <c r="G272" s="18" t="s">
        <v>59</v>
      </c>
      <c r="H272" s="18">
        <v>99999</v>
      </c>
      <c r="I272" s="18" t="s">
        <v>30</v>
      </c>
      <c r="J272" s="18" t="s">
        <v>60</v>
      </c>
      <c r="K272" s="18" t="s">
        <v>61</v>
      </c>
      <c r="L272" s="17">
        <v>41922</v>
      </c>
      <c r="M272" s="18" t="s">
        <v>62</v>
      </c>
      <c r="N272" s="18" t="s">
        <v>63</v>
      </c>
      <c r="O272" s="18" t="s">
        <v>57</v>
      </c>
      <c r="P272" s="18" t="s">
        <v>58</v>
      </c>
      <c r="Q272" s="18" t="s">
        <v>59</v>
      </c>
      <c r="R272" s="18">
        <v>99999</v>
      </c>
      <c r="S272" s="18" t="s">
        <v>30</v>
      </c>
      <c r="T272" s="18" t="s">
        <v>48</v>
      </c>
      <c r="U272" s="18" t="s">
        <v>133</v>
      </c>
      <c r="V272" s="18" t="s">
        <v>134</v>
      </c>
      <c r="W272" s="19">
        <v>34.799999999999997</v>
      </c>
      <c r="X272" s="18">
        <v>93</v>
      </c>
      <c r="Y272" s="19">
        <v>3236.3999999999996</v>
      </c>
      <c r="Z272" s="20">
        <v>313.93079999999998</v>
      </c>
    </row>
    <row r="273" spans="1:26" x14ac:dyDescent="0.25">
      <c r="A273" s="16">
        <v>1315</v>
      </c>
      <c r="B273" s="17">
        <v>41915</v>
      </c>
      <c r="C273" s="18">
        <v>3</v>
      </c>
      <c r="D273" s="18" t="s">
        <v>74</v>
      </c>
      <c r="E273" s="18" t="s">
        <v>75</v>
      </c>
      <c r="F273" s="18" t="s">
        <v>76</v>
      </c>
      <c r="G273" s="18" t="s">
        <v>77</v>
      </c>
      <c r="H273" s="18">
        <v>99999</v>
      </c>
      <c r="I273" s="18" t="s">
        <v>30</v>
      </c>
      <c r="J273" s="18" t="s">
        <v>31</v>
      </c>
      <c r="K273" s="18" t="s">
        <v>32</v>
      </c>
      <c r="L273" s="17">
        <v>41917</v>
      </c>
      <c r="M273" s="18" t="s">
        <v>33</v>
      </c>
      <c r="N273" s="18" t="s">
        <v>78</v>
      </c>
      <c r="O273" s="18" t="s">
        <v>75</v>
      </c>
      <c r="P273" s="18" t="s">
        <v>76</v>
      </c>
      <c r="Q273" s="18" t="s">
        <v>77</v>
      </c>
      <c r="R273" s="18">
        <v>99999</v>
      </c>
      <c r="S273" s="18" t="s">
        <v>30</v>
      </c>
      <c r="T273" s="18" t="s">
        <v>79</v>
      </c>
      <c r="U273" s="18" t="s">
        <v>135</v>
      </c>
      <c r="V273" s="18" t="s">
        <v>112</v>
      </c>
      <c r="W273" s="19">
        <v>10</v>
      </c>
      <c r="X273" s="18">
        <v>11</v>
      </c>
      <c r="Y273" s="19">
        <v>110</v>
      </c>
      <c r="Z273" s="20">
        <v>11.440000000000001</v>
      </c>
    </row>
    <row r="274" spans="1:26" x14ac:dyDescent="0.25">
      <c r="A274" s="16">
        <v>1316</v>
      </c>
      <c r="B274" s="17">
        <v>41915</v>
      </c>
      <c r="C274" s="18">
        <v>3</v>
      </c>
      <c r="D274" s="18" t="s">
        <v>74</v>
      </c>
      <c r="E274" s="18" t="s">
        <v>75</v>
      </c>
      <c r="F274" s="18" t="s">
        <v>76</v>
      </c>
      <c r="G274" s="18" t="s">
        <v>77</v>
      </c>
      <c r="H274" s="18">
        <v>99999</v>
      </c>
      <c r="I274" s="18" t="s">
        <v>30</v>
      </c>
      <c r="J274" s="18" t="s">
        <v>31</v>
      </c>
      <c r="K274" s="18" t="s">
        <v>32</v>
      </c>
      <c r="L274" s="17">
        <v>41917</v>
      </c>
      <c r="M274" s="18" t="s">
        <v>33</v>
      </c>
      <c r="N274" s="18" t="s">
        <v>78</v>
      </c>
      <c r="O274" s="18" t="s">
        <v>75</v>
      </c>
      <c r="P274" s="18" t="s">
        <v>76</v>
      </c>
      <c r="Q274" s="18" t="s">
        <v>77</v>
      </c>
      <c r="R274" s="18">
        <v>99999</v>
      </c>
      <c r="S274" s="18" t="s">
        <v>30</v>
      </c>
      <c r="T274" s="18" t="s">
        <v>79</v>
      </c>
      <c r="U274" s="18" t="s">
        <v>88</v>
      </c>
      <c r="V274" s="18" t="s">
        <v>89</v>
      </c>
      <c r="W274" s="19">
        <v>40</v>
      </c>
      <c r="X274" s="18">
        <v>91</v>
      </c>
      <c r="Y274" s="19">
        <v>3640</v>
      </c>
      <c r="Z274" s="20">
        <v>364</v>
      </c>
    </row>
    <row r="275" spans="1:26" x14ac:dyDescent="0.25">
      <c r="A275" s="16">
        <v>1320</v>
      </c>
      <c r="B275" s="17">
        <v>41922</v>
      </c>
      <c r="C275" s="18">
        <v>10</v>
      </c>
      <c r="D275" s="18" t="s">
        <v>97</v>
      </c>
      <c r="E275" s="18" t="s">
        <v>98</v>
      </c>
      <c r="F275" s="18" t="s">
        <v>99</v>
      </c>
      <c r="G275" s="18" t="s">
        <v>100</v>
      </c>
      <c r="H275" s="18">
        <v>99999</v>
      </c>
      <c r="I275" s="18" t="s">
        <v>30</v>
      </c>
      <c r="J275" s="18" t="s">
        <v>101</v>
      </c>
      <c r="K275" s="18" t="s">
        <v>45</v>
      </c>
      <c r="L275" s="17">
        <v>41924</v>
      </c>
      <c r="M275" s="18" t="s">
        <v>33</v>
      </c>
      <c r="N275" s="18" t="s">
        <v>102</v>
      </c>
      <c r="O275" s="18" t="s">
        <v>98</v>
      </c>
      <c r="P275" s="18" t="s">
        <v>99</v>
      </c>
      <c r="Q275" s="18" t="s">
        <v>100</v>
      </c>
      <c r="R275" s="18">
        <v>99999</v>
      </c>
      <c r="S275" s="18" t="s">
        <v>30</v>
      </c>
      <c r="T275" s="18" t="s">
        <v>48</v>
      </c>
      <c r="U275" s="18" t="s">
        <v>136</v>
      </c>
      <c r="V275" s="18" t="s">
        <v>39</v>
      </c>
      <c r="W275" s="19">
        <v>10</v>
      </c>
      <c r="X275" s="18">
        <v>12</v>
      </c>
      <c r="Y275" s="19">
        <v>120</v>
      </c>
      <c r="Z275" s="20">
        <v>12.36</v>
      </c>
    </row>
    <row r="276" spans="1:26" x14ac:dyDescent="0.25">
      <c r="A276" s="16">
        <v>1322</v>
      </c>
      <c r="B276" s="17">
        <v>41922</v>
      </c>
      <c r="C276" s="18">
        <v>10</v>
      </c>
      <c r="D276" s="18" t="s">
        <v>97</v>
      </c>
      <c r="E276" s="18" t="s">
        <v>98</v>
      </c>
      <c r="F276" s="18" t="s">
        <v>99</v>
      </c>
      <c r="G276" s="18" t="s">
        <v>100</v>
      </c>
      <c r="H276" s="18">
        <v>99999</v>
      </c>
      <c r="I276" s="18" t="s">
        <v>30</v>
      </c>
      <c r="J276" s="18" t="s">
        <v>101</v>
      </c>
      <c r="K276" s="18" t="s">
        <v>45</v>
      </c>
      <c r="L276" s="17"/>
      <c r="M276" s="18" t="s">
        <v>46</v>
      </c>
      <c r="N276" s="18" t="s">
        <v>102</v>
      </c>
      <c r="O276" s="18" t="s">
        <v>98</v>
      </c>
      <c r="P276" s="18" t="s">
        <v>99</v>
      </c>
      <c r="Q276" s="18" t="s">
        <v>100</v>
      </c>
      <c r="R276" s="18">
        <v>99999</v>
      </c>
      <c r="S276" s="18" t="s">
        <v>30</v>
      </c>
      <c r="T276" s="18"/>
      <c r="U276" s="18" t="s">
        <v>38</v>
      </c>
      <c r="V276" s="18" t="s">
        <v>39</v>
      </c>
      <c r="W276" s="19">
        <v>3.5</v>
      </c>
      <c r="X276" s="18">
        <v>78</v>
      </c>
      <c r="Y276" s="19">
        <v>273</v>
      </c>
      <c r="Z276" s="20">
        <v>27.3</v>
      </c>
    </row>
    <row r="277" spans="1:26" x14ac:dyDescent="0.25">
      <c r="A277" s="16">
        <v>1323</v>
      </c>
      <c r="B277" s="17">
        <v>41923</v>
      </c>
      <c r="C277" s="18">
        <v>11</v>
      </c>
      <c r="D277" s="18" t="s">
        <v>113</v>
      </c>
      <c r="E277" s="18" t="s">
        <v>114</v>
      </c>
      <c r="F277" s="18" t="s">
        <v>115</v>
      </c>
      <c r="G277" s="18" t="s">
        <v>116</v>
      </c>
      <c r="H277" s="18">
        <v>99999</v>
      </c>
      <c r="I277" s="18" t="s">
        <v>30</v>
      </c>
      <c r="J277" s="18" t="s">
        <v>94</v>
      </c>
      <c r="K277" s="18" t="s">
        <v>95</v>
      </c>
      <c r="L277" s="17"/>
      <c r="M277" s="18" t="s">
        <v>62</v>
      </c>
      <c r="N277" s="18" t="s">
        <v>117</v>
      </c>
      <c r="O277" s="18" t="s">
        <v>114</v>
      </c>
      <c r="P277" s="18" t="s">
        <v>115</v>
      </c>
      <c r="Q277" s="18" t="s">
        <v>116</v>
      </c>
      <c r="R277" s="18">
        <v>99999</v>
      </c>
      <c r="S277" s="18" t="s">
        <v>30</v>
      </c>
      <c r="T277" s="18"/>
      <c r="U277" s="18" t="s">
        <v>88</v>
      </c>
      <c r="V277" s="18" t="s">
        <v>89</v>
      </c>
      <c r="W277" s="19">
        <v>40</v>
      </c>
      <c r="X277" s="18">
        <v>60</v>
      </c>
      <c r="Y277" s="19">
        <v>2400</v>
      </c>
      <c r="Z277" s="20">
        <v>228</v>
      </c>
    </row>
    <row r="278" spans="1:26" x14ac:dyDescent="0.25">
      <c r="A278" s="16">
        <v>1324</v>
      </c>
      <c r="B278" s="17">
        <v>41913</v>
      </c>
      <c r="C278" s="18">
        <v>1</v>
      </c>
      <c r="D278" s="18" t="s">
        <v>118</v>
      </c>
      <c r="E278" s="18" t="s">
        <v>119</v>
      </c>
      <c r="F278" s="18" t="s">
        <v>120</v>
      </c>
      <c r="G278" s="18" t="s">
        <v>121</v>
      </c>
      <c r="H278" s="18">
        <v>99999</v>
      </c>
      <c r="I278" s="18" t="s">
        <v>30</v>
      </c>
      <c r="J278" s="18" t="s">
        <v>60</v>
      </c>
      <c r="K278" s="18" t="s">
        <v>61</v>
      </c>
      <c r="L278" s="17"/>
      <c r="M278" s="18" t="s">
        <v>62</v>
      </c>
      <c r="N278" s="18" t="s">
        <v>122</v>
      </c>
      <c r="O278" s="18" t="s">
        <v>119</v>
      </c>
      <c r="P278" s="18" t="s">
        <v>120</v>
      </c>
      <c r="Q278" s="18" t="s">
        <v>121</v>
      </c>
      <c r="R278" s="18">
        <v>99999</v>
      </c>
      <c r="S278" s="18" t="s">
        <v>30</v>
      </c>
      <c r="T278" s="18"/>
      <c r="U278" s="18" t="s">
        <v>123</v>
      </c>
      <c r="V278" s="18" t="s">
        <v>124</v>
      </c>
      <c r="W278" s="19">
        <v>18.399999999999999</v>
      </c>
      <c r="X278" s="18">
        <v>23</v>
      </c>
      <c r="Y278" s="19">
        <v>423.2</v>
      </c>
      <c r="Z278" s="20">
        <v>43.589600000000004</v>
      </c>
    </row>
    <row r="279" spans="1:26" x14ac:dyDescent="0.25">
      <c r="A279" s="16">
        <v>1325</v>
      </c>
      <c r="B279" s="17">
        <v>41940</v>
      </c>
      <c r="C279" s="18">
        <v>28</v>
      </c>
      <c r="D279" s="18" t="s">
        <v>90</v>
      </c>
      <c r="E279" s="18" t="s">
        <v>91</v>
      </c>
      <c r="F279" s="18" t="s">
        <v>92</v>
      </c>
      <c r="G279" s="18" t="s">
        <v>93</v>
      </c>
      <c r="H279" s="18">
        <v>99999</v>
      </c>
      <c r="I279" s="18" t="s">
        <v>30</v>
      </c>
      <c r="J279" s="18" t="s">
        <v>94</v>
      </c>
      <c r="K279" s="18" t="s">
        <v>95</v>
      </c>
      <c r="L279" s="17">
        <v>41942</v>
      </c>
      <c r="M279" s="18" t="s">
        <v>62</v>
      </c>
      <c r="N279" s="18" t="s">
        <v>96</v>
      </c>
      <c r="O279" s="18" t="s">
        <v>91</v>
      </c>
      <c r="P279" s="18" t="s">
        <v>92</v>
      </c>
      <c r="Q279" s="18" t="s">
        <v>93</v>
      </c>
      <c r="R279" s="18">
        <v>99999</v>
      </c>
      <c r="S279" s="18" t="s">
        <v>30</v>
      </c>
      <c r="T279" s="18" t="s">
        <v>48</v>
      </c>
      <c r="U279" s="18" t="s">
        <v>55</v>
      </c>
      <c r="V279" s="18" t="s">
        <v>37</v>
      </c>
      <c r="W279" s="19">
        <v>46</v>
      </c>
      <c r="X279" s="18">
        <v>34</v>
      </c>
      <c r="Y279" s="19">
        <v>1564</v>
      </c>
      <c r="Z279" s="20">
        <v>157.964</v>
      </c>
    </row>
    <row r="280" spans="1:26" x14ac:dyDescent="0.25">
      <c r="A280" s="16">
        <v>1326</v>
      </c>
      <c r="B280" s="17">
        <v>41921</v>
      </c>
      <c r="C280" s="18">
        <v>9</v>
      </c>
      <c r="D280" s="18" t="s">
        <v>125</v>
      </c>
      <c r="E280" s="18" t="s">
        <v>126</v>
      </c>
      <c r="F280" s="18" t="s">
        <v>127</v>
      </c>
      <c r="G280" s="18" t="s">
        <v>128</v>
      </c>
      <c r="H280" s="18">
        <v>99999</v>
      </c>
      <c r="I280" s="18" t="s">
        <v>30</v>
      </c>
      <c r="J280" s="18" t="s">
        <v>129</v>
      </c>
      <c r="K280" s="18" t="s">
        <v>32</v>
      </c>
      <c r="L280" s="17">
        <v>41923</v>
      </c>
      <c r="M280" s="18" t="s">
        <v>46</v>
      </c>
      <c r="N280" s="18" t="s">
        <v>130</v>
      </c>
      <c r="O280" s="18" t="s">
        <v>126</v>
      </c>
      <c r="P280" s="18" t="s">
        <v>127</v>
      </c>
      <c r="Q280" s="18" t="s">
        <v>128</v>
      </c>
      <c r="R280" s="18">
        <v>99999</v>
      </c>
      <c r="S280" s="18" t="s">
        <v>30</v>
      </c>
      <c r="T280" s="18" t="s">
        <v>35</v>
      </c>
      <c r="U280" s="18" t="s">
        <v>80</v>
      </c>
      <c r="V280" s="18" t="s">
        <v>81</v>
      </c>
      <c r="W280" s="19">
        <v>9.65</v>
      </c>
      <c r="X280" s="18">
        <v>89</v>
      </c>
      <c r="Y280" s="19">
        <v>858.85</v>
      </c>
      <c r="Z280" s="20">
        <v>86.743850000000009</v>
      </c>
    </row>
    <row r="281" spans="1:26" x14ac:dyDescent="0.25">
      <c r="A281" s="16">
        <v>1327</v>
      </c>
      <c r="B281" s="17">
        <v>41918</v>
      </c>
      <c r="C281" s="18">
        <v>6</v>
      </c>
      <c r="D281" s="18" t="s">
        <v>82</v>
      </c>
      <c r="E281" s="18" t="s">
        <v>83</v>
      </c>
      <c r="F281" s="18" t="s">
        <v>84</v>
      </c>
      <c r="G281" s="18" t="s">
        <v>85</v>
      </c>
      <c r="H281" s="18">
        <v>99999</v>
      </c>
      <c r="I281" s="18" t="s">
        <v>30</v>
      </c>
      <c r="J281" s="18" t="s">
        <v>86</v>
      </c>
      <c r="K281" s="18" t="s">
        <v>61</v>
      </c>
      <c r="L281" s="17">
        <v>41920</v>
      </c>
      <c r="M281" s="18" t="s">
        <v>33</v>
      </c>
      <c r="N281" s="18" t="s">
        <v>87</v>
      </c>
      <c r="O281" s="18" t="s">
        <v>83</v>
      </c>
      <c r="P281" s="18" t="s">
        <v>84</v>
      </c>
      <c r="Q281" s="18" t="s">
        <v>85</v>
      </c>
      <c r="R281" s="18">
        <v>99999</v>
      </c>
      <c r="S281" s="18" t="s">
        <v>30</v>
      </c>
      <c r="T281" s="18" t="s">
        <v>48</v>
      </c>
      <c r="U281" s="18" t="s">
        <v>72</v>
      </c>
      <c r="V281" s="18" t="s">
        <v>73</v>
      </c>
      <c r="W281" s="19">
        <v>12.75</v>
      </c>
      <c r="X281" s="18">
        <v>82</v>
      </c>
      <c r="Y281" s="19">
        <v>1045.5</v>
      </c>
      <c r="Z281" s="20">
        <v>103.50450000000001</v>
      </c>
    </row>
    <row r="282" spans="1:26" x14ac:dyDescent="0.25">
      <c r="A282" s="16">
        <v>1328</v>
      </c>
      <c r="B282" s="17">
        <v>41920</v>
      </c>
      <c r="C282" s="18">
        <v>8</v>
      </c>
      <c r="D282" s="18" t="s">
        <v>56</v>
      </c>
      <c r="E282" s="18" t="s">
        <v>57</v>
      </c>
      <c r="F282" s="18" t="s">
        <v>58</v>
      </c>
      <c r="G282" s="18" t="s">
        <v>59</v>
      </c>
      <c r="H282" s="18">
        <v>99999</v>
      </c>
      <c r="I282" s="18" t="s">
        <v>30</v>
      </c>
      <c r="J282" s="18" t="s">
        <v>60</v>
      </c>
      <c r="K282" s="18" t="s">
        <v>61</v>
      </c>
      <c r="L282" s="17">
        <v>41922</v>
      </c>
      <c r="M282" s="18" t="s">
        <v>33</v>
      </c>
      <c r="N282" s="18" t="s">
        <v>63</v>
      </c>
      <c r="O282" s="18" t="s">
        <v>57</v>
      </c>
      <c r="P282" s="18" t="s">
        <v>58</v>
      </c>
      <c r="Q282" s="18" t="s">
        <v>59</v>
      </c>
      <c r="R282" s="18">
        <v>99999</v>
      </c>
      <c r="S282" s="18" t="s">
        <v>30</v>
      </c>
      <c r="T282" s="18" t="s">
        <v>35</v>
      </c>
      <c r="U282" s="18" t="s">
        <v>72</v>
      </c>
      <c r="V282" s="18" t="s">
        <v>73</v>
      </c>
      <c r="W282" s="19">
        <v>12.75</v>
      </c>
      <c r="X282" s="18">
        <v>43</v>
      </c>
      <c r="Y282" s="19">
        <v>548.25</v>
      </c>
      <c r="Z282" s="20">
        <v>52.631999999999998</v>
      </c>
    </row>
    <row r="283" spans="1:26" x14ac:dyDescent="0.25">
      <c r="A283" s="16">
        <v>1329</v>
      </c>
      <c r="B283" s="17">
        <v>41953</v>
      </c>
      <c r="C283" s="18">
        <v>10</v>
      </c>
      <c r="D283" s="18" t="s">
        <v>97</v>
      </c>
      <c r="E283" s="18" t="s">
        <v>98</v>
      </c>
      <c r="F283" s="18" t="s">
        <v>99</v>
      </c>
      <c r="G283" s="18" t="s">
        <v>100</v>
      </c>
      <c r="H283" s="18">
        <v>99999</v>
      </c>
      <c r="I283" s="18" t="s">
        <v>30</v>
      </c>
      <c r="J283" s="18" t="s">
        <v>101</v>
      </c>
      <c r="K283" s="18" t="s">
        <v>45</v>
      </c>
      <c r="L283" s="17">
        <v>41955</v>
      </c>
      <c r="M283" s="18" t="s">
        <v>46</v>
      </c>
      <c r="N283" s="18" t="s">
        <v>102</v>
      </c>
      <c r="O283" s="18" t="s">
        <v>98</v>
      </c>
      <c r="P283" s="18" t="s">
        <v>99</v>
      </c>
      <c r="Q283" s="18" t="s">
        <v>100</v>
      </c>
      <c r="R283" s="18">
        <v>99999</v>
      </c>
      <c r="S283" s="18" t="s">
        <v>30</v>
      </c>
      <c r="T283" s="18"/>
      <c r="U283" s="18" t="s">
        <v>111</v>
      </c>
      <c r="V283" s="18" t="s">
        <v>112</v>
      </c>
      <c r="W283" s="19">
        <v>22</v>
      </c>
      <c r="X283" s="18">
        <v>96</v>
      </c>
      <c r="Y283" s="19">
        <v>2112</v>
      </c>
      <c r="Z283" s="20">
        <v>221.76000000000002</v>
      </c>
    </row>
    <row r="284" spans="1:26" x14ac:dyDescent="0.25">
      <c r="A284" s="16">
        <v>1330</v>
      </c>
      <c r="B284" s="17">
        <v>41953</v>
      </c>
      <c r="C284" s="18">
        <v>10</v>
      </c>
      <c r="D284" s="18" t="s">
        <v>97</v>
      </c>
      <c r="E284" s="18" t="s">
        <v>98</v>
      </c>
      <c r="F284" s="18" t="s">
        <v>99</v>
      </c>
      <c r="G284" s="18" t="s">
        <v>100</v>
      </c>
      <c r="H284" s="18">
        <v>99999</v>
      </c>
      <c r="I284" s="18" t="s">
        <v>30</v>
      </c>
      <c r="J284" s="18" t="s">
        <v>101</v>
      </c>
      <c r="K284" s="18" t="s">
        <v>45</v>
      </c>
      <c r="L284" s="17">
        <v>41955</v>
      </c>
      <c r="M284" s="18" t="s">
        <v>46</v>
      </c>
      <c r="N284" s="18" t="s">
        <v>102</v>
      </c>
      <c r="O284" s="18" t="s">
        <v>98</v>
      </c>
      <c r="P284" s="18" t="s">
        <v>99</v>
      </c>
      <c r="Q284" s="18" t="s">
        <v>100</v>
      </c>
      <c r="R284" s="18">
        <v>99999</v>
      </c>
      <c r="S284" s="18" t="s">
        <v>30</v>
      </c>
      <c r="T284" s="18"/>
      <c r="U284" s="18" t="s">
        <v>64</v>
      </c>
      <c r="V284" s="18" t="s">
        <v>65</v>
      </c>
      <c r="W284" s="19">
        <v>9.1999999999999993</v>
      </c>
      <c r="X284" s="18">
        <v>34</v>
      </c>
      <c r="Y284" s="19">
        <v>312.79999999999995</v>
      </c>
      <c r="Z284" s="20">
        <v>31.279999999999998</v>
      </c>
    </row>
    <row r="285" spans="1:26" x14ac:dyDescent="0.25">
      <c r="A285" s="16">
        <v>1331</v>
      </c>
      <c r="B285" s="17">
        <v>41954</v>
      </c>
      <c r="C285" s="18">
        <v>11</v>
      </c>
      <c r="D285" s="18" t="s">
        <v>113</v>
      </c>
      <c r="E285" s="18" t="s">
        <v>114</v>
      </c>
      <c r="F285" s="18" t="s">
        <v>115</v>
      </c>
      <c r="G285" s="18" t="s">
        <v>116</v>
      </c>
      <c r="H285" s="18">
        <v>99999</v>
      </c>
      <c r="I285" s="18" t="s">
        <v>30</v>
      </c>
      <c r="J285" s="18" t="s">
        <v>94</v>
      </c>
      <c r="K285" s="18" t="s">
        <v>95</v>
      </c>
      <c r="L285" s="17"/>
      <c r="M285" s="18" t="s">
        <v>62</v>
      </c>
      <c r="N285" s="18" t="s">
        <v>117</v>
      </c>
      <c r="O285" s="18" t="s">
        <v>114</v>
      </c>
      <c r="P285" s="18" t="s">
        <v>115</v>
      </c>
      <c r="Q285" s="18" t="s">
        <v>116</v>
      </c>
      <c r="R285" s="18">
        <v>99999</v>
      </c>
      <c r="S285" s="18" t="s">
        <v>30</v>
      </c>
      <c r="T285" s="18"/>
      <c r="U285" s="18" t="s">
        <v>38</v>
      </c>
      <c r="V285" s="18" t="s">
        <v>39</v>
      </c>
      <c r="W285" s="19">
        <v>3.5</v>
      </c>
      <c r="X285" s="18">
        <v>42</v>
      </c>
      <c r="Y285" s="19">
        <v>147</v>
      </c>
      <c r="Z285" s="20">
        <v>15.141000000000002</v>
      </c>
    </row>
    <row r="286" spans="1:26" x14ac:dyDescent="0.25">
      <c r="A286" s="16">
        <v>1332</v>
      </c>
      <c r="B286" s="17">
        <v>41954</v>
      </c>
      <c r="C286" s="18">
        <v>11</v>
      </c>
      <c r="D286" s="18" t="s">
        <v>113</v>
      </c>
      <c r="E286" s="18" t="s">
        <v>114</v>
      </c>
      <c r="F286" s="18" t="s">
        <v>115</v>
      </c>
      <c r="G286" s="18" t="s">
        <v>116</v>
      </c>
      <c r="H286" s="18">
        <v>99999</v>
      </c>
      <c r="I286" s="18" t="s">
        <v>30</v>
      </c>
      <c r="J286" s="18" t="s">
        <v>94</v>
      </c>
      <c r="K286" s="18" t="s">
        <v>95</v>
      </c>
      <c r="L286" s="17"/>
      <c r="M286" s="18" t="s">
        <v>62</v>
      </c>
      <c r="N286" s="18" t="s">
        <v>117</v>
      </c>
      <c r="O286" s="18" t="s">
        <v>114</v>
      </c>
      <c r="P286" s="18" t="s">
        <v>115</v>
      </c>
      <c r="Q286" s="18" t="s">
        <v>116</v>
      </c>
      <c r="R286" s="18">
        <v>99999</v>
      </c>
      <c r="S286" s="18" t="s">
        <v>30</v>
      </c>
      <c r="T286" s="18"/>
      <c r="U286" s="18" t="s">
        <v>103</v>
      </c>
      <c r="V286" s="18" t="s">
        <v>37</v>
      </c>
      <c r="W286" s="19">
        <v>2.99</v>
      </c>
      <c r="X286" s="18">
        <v>100</v>
      </c>
      <c r="Y286" s="19">
        <v>299</v>
      </c>
      <c r="Z286" s="20">
        <v>30.498000000000001</v>
      </c>
    </row>
    <row r="287" spans="1:26" x14ac:dyDescent="0.25">
      <c r="A287" s="16">
        <v>1333</v>
      </c>
      <c r="B287" s="17">
        <v>41944</v>
      </c>
      <c r="C287" s="18">
        <v>1</v>
      </c>
      <c r="D287" s="18" t="s">
        <v>118</v>
      </c>
      <c r="E287" s="18" t="s">
        <v>119</v>
      </c>
      <c r="F287" s="18" t="s">
        <v>120</v>
      </c>
      <c r="G287" s="18" t="s">
        <v>121</v>
      </c>
      <c r="H287" s="18">
        <v>99999</v>
      </c>
      <c r="I287" s="18" t="s">
        <v>30</v>
      </c>
      <c r="J287" s="18" t="s">
        <v>60</v>
      </c>
      <c r="K287" s="18" t="s">
        <v>61</v>
      </c>
      <c r="L287" s="18"/>
      <c r="M287" s="18"/>
      <c r="N287" s="18" t="s">
        <v>122</v>
      </c>
      <c r="O287" s="18" t="s">
        <v>119</v>
      </c>
      <c r="P287" s="18" t="s">
        <v>120</v>
      </c>
      <c r="Q287" s="18" t="s">
        <v>121</v>
      </c>
      <c r="R287" s="18">
        <v>99999</v>
      </c>
      <c r="S287" s="18" t="s">
        <v>30</v>
      </c>
      <c r="T287" s="18"/>
      <c r="U287" s="18" t="s">
        <v>54</v>
      </c>
      <c r="V287" s="18" t="s">
        <v>37</v>
      </c>
      <c r="W287" s="19">
        <v>18</v>
      </c>
      <c r="X287" s="18">
        <v>42</v>
      </c>
      <c r="Y287" s="19">
        <v>756</v>
      </c>
      <c r="Z287" s="20">
        <v>76.356000000000009</v>
      </c>
    </row>
    <row r="288" spans="1:26" x14ac:dyDescent="0.25">
      <c r="A288" s="16">
        <v>1334</v>
      </c>
      <c r="B288" s="17">
        <v>41944</v>
      </c>
      <c r="C288" s="18">
        <v>1</v>
      </c>
      <c r="D288" s="18" t="s">
        <v>118</v>
      </c>
      <c r="E288" s="18" t="s">
        <v>119</v>
      </c>
      <c r="F288" s="18" t="s">
        <v>120</v>
      </c>
      <c r="G288" s="18" t="s">
        <v>121</v>
      </c>
      <c r="H288" s="18">
        <v>99999</v>
      </c>
      <c r="I288" s="18" t="s">
        <v>30</v>
      </c>
      <c r="J288" s="18" t="s">
        <v>60</v>
      </c>
      <c r="K288" s="18" t="s">
        <v>61</v>
      </c>
      <c r="L288" s="17"/>
      <c r="M288" s="18"/>
      <c r="N288" s="18" t="s">
        <v>122</v>
      </c>
      <c r="O288" s="18" t="s">
        <v>119</v>
      </c>
      <c r="P288" s="18" t="s">
        <v>120</v>
      </c>
      <c r="Q288" s="18" t="s">
        <v>121</v>
      </c>
      <c r="R288" s="18">
        <v>99999</v>
      </c>
      <c r="S288" s="18" t="s">
        <v>30</v>
      </c>
      <c r="T288" s="18"/>
      <c r="U288" s="18" t="s">
        <v>55</v>
      </c>
      <c r="V288" s="18" t="s">
        <v>37</v>
      </c>
      <c r="W288" s="19">
        <v>46</v>
      </c>
      <c r="X288" s="18">
        <v>16</v>
      </c>
      <c r="Y288" s="19">
        <v>736</v>
      </c>
      <c r="Z288" s="20">
        <v>70.656000000000006</v>
      </c>
    </row>
    <row r="289" spans="1:26" x14ac:dyDescent="0.25">
      <c r="A289" s="16">
        <v>1335</v>
      </c>
      <c r="B289" s="17">
        <v>41944</v>
      </c>
      <c r="C289" s="18">
        <v>1</v>
      </c>
      <c r="D289" s="18" t="s">
        <v>118</v>
      </c>
      <c r="E289" s="18" t="s">
        <v>119</v>
      </c>
      <c r="F289" s="18" t="s">
        <v>120</v>
      </c>
      <c r="G289" s="18" t="s">
        <v>121</v>
      </c>
      <c r="H289" s="18">
        <v>99999</v>
      </c>
      <c r="I289" s="18" t="s">
        <v>30</v>
      </c>
      <c r="J289" s="18" t="s">
        <v>60</v>
      </c>
      <c r="K289" s="18" t="s">
        <v>61</v>
      </c>
      <c r="L289" s="17"/>
      <c r="M289" s="18"/>
      <c r="N289" s="18" t="s">
        <v>122</v>
      </c>
      <c r="O289" s="18" t="s">
        <v>119</v>
      </c>
      <c r="P289" s="18" t="s">
        <v>120</v>
      </c>
      <c r="Q289" s="18" t="s">
        <v>121</v>
      </c>
      <c r="R289" s="18">
        <v>99999</v>
      </c>
      <c r="S289" s="18" t="s">
        <v>30</v>
      </c>
      <c r="T289" s="18"/>
      <c r="U289" s="18" t="s">
        <v>103</v>
      </c>
      <c r="V289" s="18" t="s">
        <v>37</v>
      </c>
      <c r="W289" s="19">
        <v>2.99</v>
      </c>
      <c r="X289" s="18">
        <v>22</v>
      </c>
      <c r="Y289" s="19">
        <v>65.78</v>
      </c>
      <c r="Z289" s="20">
        <v>6.3806599999999998</v>
      </c>
    </row>
    <row r="290" spans="1:26" x14ac:dyDescent="0.25">
      <c r="A290" s="16">
        <v>1336</v>
      </c>
      <c r="B290" s="17">
        <v>41971</v>
      </c>
      <c r="C290" s="18">
        <v>28</v>
      </c>
      <c r="D290" s="18" t="s">
        <v>90</v>
      </c>
      <c r="E290" s="18" t="s">
        <v>91</v>
      </c>
      <c r="F290" s="18" t="s">
        <v>92</v>
      </c>
      <c r="G290" s="18" t="s">
        <v>93</v>
      </c>
      <c r="H290" s="18">
        <v>99999</v>
      </c>
      <c r="I290" s="18" t="s">
        <v>30</v>
      </c>
      <c r="J290" s="18" t="s">
        <v>94</v>
      </c>
      <c r="K290" s="18" t="s">
        <v>95</v>
      </c>
      <c r="L290" s="17">
        <v>41973</v>
      </c>
      <c r="M290" s="18" t="s">
        <v>62</v>
      </c>
      <c r="N290" s="18" t="s">
        <v>96</v>
      </c>
      <c r="O290" s="18" t="s">
        <v>91</v>
      </c>
      <c r="P290" s="18" t="s">
        <v>92</v>
      </c>
      <c r="Q290" s="18" t="s">
        <v>93</v>
      </c>
      <c r="R290" s="18">
        <v>99999</v>
      </c>
      <c r="S290" s="18" t="s">
        <v>30</v>
      </c>
      <c r="T290" s="18" t="s">
        <v>48</v>
      </c>
      <c r="U290" s="18" t="s">
        <v>80</v>
      </c>
      <c r="V290" s="18" t="s">
        <v>81</v>
      </c>
      <c r="W290" s="19">
        <v>9.65</v>
      </c>
      <c r="X290" s="18">
        <v>46</v>
      </c>
      <c r="Y290" s="19">
        <v>443.90000000000003</v>
      </c>
      <c r="Z290" s="20">
        <v>45.721700000000006</v>
      </c>
    </row>
    <row r="291" spans="1:26" x14ac:dyDescent="0.25">
      <c r="A291" s="16">
        <v>1337</v>
      </c>
      <c r="B291" s="17">
        <v>41971</v>
      </c>
      <c r="C291" s="18">
        <v>28</v>
      </c>
      <c r="D291" s="18" t="s">
        <v>90</v>
      </c>
      <c r="E291" s="18" t="s">
        <v>91</v>
      </c>
      <c r="F291" s="18" t="s">
        <v>92</v>
      </c>
      <c r="G291" s="18" t="s">
        <v>93</v>
      </c>
      <c r="H291" s="18">
        <v>99999</v>
      </c>
      <c r="I291" s="18" t="s">
        <v>30</v>
      </c>
      <c r="J291" s="18" t="s">
        <v>94</v>
      </c>
      <c r="K291" s="18" t="s">
        <v>95</v>
      </c>
      <c r="L291" s="18">
        <v>41973</v>
      </c>
      <c r="M291" s="18" t="s">
        <v>62</v>
      </c>
      <c r="N291" s="18" t="s">
        <v>96</v>
      </c>
      <c r="O291" s="18" t="s">
        <v>91</v>
      </c>
      <c r="P291" s="18" t="s">
        <v>92</v>
      </c>
      <c r="Q291" s="18" t="s">
        <v>93</v>
      </c>
      <c r="R291" s="18">
        <v>99999</v>
      </c>
      <c r="S291" s="18" t="s">
        <v>30</v>
      </c>
      <c r="T291" s="18" t="s">
        <v>48</v>
      </c>
      <c r="U291" s="18" t="s">
        <v>123</v>
      </c>
      <c r="V291" s="18" t="s">
        <v>124</v>
      </c>
      <c r="W291" s="19">
        <v>18.399999999999999</v>
      </c>
      <c r="X291" s="18">
        <v>100</v>
      </c>
      <c r="Y291" s="19">
        <v>1839.9999999999998</v>
      </c>
      <c r="Z291" s="20">
        <v>184</v>
      </c>
    </row>
    <row r="292" spans="1:26" x14ac:dyDescent="0.25">
      <c r="A292" s="16">
        <v>1338</v>
      </c>
      <c r="B292" s="17">
        <v>41952</v>
      </c>
      <c r="C292" s="18">
        <v>9</v>
      </c>
      <c r="D292" s="18" t="s">
        <v>125</v>
      </c>
      <c r="E292" s="18" t="s">
        <v>126</v>
      </c>
      <c r="F292" s="18" t="s">
        <v>127</v>
      </c>
      <c r="G292" s="18" t="s">
        <v>128</v>
      </c>
      <c r="H292" s="18">
        <v>99999</v>
      </c>
      <c r="I292" s="18" t="s">
        <v>30</v>
      </c>
      <c r="J292" s="18" t="s">
        <v>129</v>
      </c>
      <c r="K292" s="18" t="s">
        <v>32</v>
      </c>
      <c r="L292" s="18">
        <v>41954</v>
      </c>
      <c r="M292" s="18" t="s">
        <v>46</v>
      </c>
      <c r="N292" s="18" t="s">
        <v>130</v>
      </c>
      <c r="O292" s="18" t="s">
        <v>126</v>
      </c>
      <c r="P292" s="18" t="s">
        <v>127</v>
      </c>
      <c r="Q292" s="18" t="s">
        <v>128</v>
      </c>
      <c r="R292" s="18">
        <v>99999</v>
      </c>
      <c r="S292" s="18" t="s">
        <v>30</v>
      </c>
      <c r="T292" s="18" t="s">
        <v>35</v>
      </c>
      <c r="U292" s="18" t="s">
        <v>131</v>
      </c>
      <c r="V292" s="18" t="s">
        <v>132</v>
      </c>
      <c r="W292" s="19">
        <v>19.5</v>
      </c>
      <c r="X292" s="18">
        <v>87</v>
      </c>
      <c r="Y292" s="19">
        <v>1696.5</v>
      </c>
      <c r="Z292" s="20">
        <v>174.73950000000002</v>
      </c>
    </row>
    <row r="293" spans="1:26" x14ac:dyDescent="0.25">
      <c r="A293" s="16">
        <v>1339</v>
      </c>
      <c r="B293" s="17">
        <v>41952</v>
      </c>
      <c r="C293" s="18">
        <v>9</v>
      </c>
      <c r="D293" s="18" t="s">
        <v>125</v>
      </c>
      <c r="E293" s="18" t="s">
        <v>126</v>
      </c>
      <c r="F293" s="18" t="s">
        <v>127</v>
      </c>
      <c r="G293" s="18" t="s">
        <v>128</v>
      </c>
      <c r="H293" s="18">
        <v>99999</v>
      </c>
      <c r="I293" s="18" t="s">
        <v>30</v>
      </c>
      <c r="J293" s="18" t="s">
        <v>129</v>
      </c>
      <c r="K293" s="18" t="s">
        <v>32</v>
      </c>
      <c r="L293" s="18">
        <v>41954</v>
      </c>
      <c r="M293" s="18" t="s">
        <v>46</v>
      </c>
      <c r="N293" s="18" t="s">
        <v>130</v>
      </c>
      <c r="O293" s="18" t="s">
        <v>126</v>
      </c>
      <c r="P293" s="18" t="s">
        <v>127</v>
      </c>
      <c r="Q293" s="18" t="s">
        <v>128</v>
      </c>
      <c r="R293" s="18">
        <v>99999</v>
      </c>
      <c r="S293" s="18" t="s">
        <v>30</v>
      </c>
      <c r="T293" s="18" t="s">
        <v>35</v>
      </c>
      <c r="U293" s="18" t="s">
        <v>133</v>
      </c>
      <c r="V293" s="18" t="s">
        <v>134</v>
      </c>
      <c r="W293" s="19">
        <v>34.799999999999997</v>
      </c>
      <c r="X293" s="18">
        <v>58</v>
      </c>
      <c r="Y293" s="19">
        <v>2018.3999999999999</v>
      </c>
      <c r="Z293" s="20">
        <v>205.8768</v>
      </c>
    </row>
    <row r="294" spans="1:26" x14ac:dyDescent="0.25">
      <c r="A294" s="16">
        <v>1340</v>
      </c>
      <c r="B294" s="17">
        <v>41949</v>
      </c>
      <c r="C294" s="18">
        <v>6</v>
      </c>
      <c r="D294" s="18" t="s">
        <v>82</v>
      </c>
      <c r="E294" s="18" t="s">
        <v>83</v>
      </c>
      <c r="F294" s="18" t="s">
        <v>84</v>
      </c>
      <c r="G294" s="18" t="s">
        <v>85</v>
      </c>
      <c r="H294" s="18">
        <v>99999</v>
      </c>
      <c r="I294" s="18" t="s">
        <v>30</v>
      </c>
      <c r="J294" s="18" t="s">
        <v>86</v>
      </c>
      <c r="K294" s="18" t="s">
        <v>61</v>
      </c>
      <c r="L294" s="18">
        <v>41951</v>
      </c>
      <c r="M294" s="18" t="s">
        <v>33</v>
      </c>
      <c r="N294" s="18" t="s">
        <v>87</v>
      </c>
      <c r="O294" s="18" t="s">
        <v>83</v>
      </c>
      <c r="P294" s="18" t="s">
        <v>84</v>
      </c>
      <c r="Q294" s="18" t="s">
        <v>85</v>
      </c>
      <c r="R294" s="18">
        <v>99999</v>
      </c>
      <c r="S294" s="18" t="s">
        <v>30</v>
      </c>
      <c r="T294" s="18" t="s">
        <v>48</v>
      </c>
      <c r="U294" s="18" t="s">
        <v>36</v>
      </c>
      <c r="V294" s="18" t="s">
        <v>37</v>
      </c>
      <c r="W294" s="19">
        <v>14</v>
      </c>
      <c r="X294" s="18">
        <v>85</v>
      </c>
      <c r="Y294" s="19">
        <v>1190</v>
      </c>
      <c r="Z294" s="20">
        <v>120.19</v>
      </c>
    </row>
    <row r="295" spans="1:26" x14ac:dyDescent="0.25">
      <c r="A295" s="16">
        <v>1341</v>
      </c>
      <c r="B295" s="17">
        <v>41951</v>
      </c>
      <c r="C295" s="18">
        <v>8</v>
      </c>
      <c r="D295" s="18" t="s">
        <v>56</v>
      </c>
      <c r="E295" s="18" t="s">
        <v>57</v>
      </c>
      <c r="F295" s="18" t="s">
        <v>58</v>
      </c>
      <c r="G295" s="18" t="s">
        <v>59</v>
      </c>
      <c r="H295" s="18">
        <v>99999</v>
      </c>
      <c r="I295" s="18" t="s">
        <v>30</v>
      </c>
      <c r="J295" s="18" t="s">
        <v>60</v>
      </c>
      <c r="K295" s="18" t="s">
        <v>61</v>
      </c>
      <c r="L295" s="18">
        <v>41953</v>
      </c>
      <c r="M295" s="18" t="s">
        <v>33</v>
      </c>
      <c r="N295" s="18" t="s">
        <v>63</v>
      </c>
      <c r="O295" s="18" t="s">
        <v>57</v>
      </c>
      <c r="P295" s="18" t="s">
        <v>58</v>
      </c>
      <c r="Q295" s="18" t="s">
        <v>59</v>
      </c>
      <c r="R295" s="18">
        <v>99999</v>
      </c>
      <c r="S295" s="18" t="s">
        <v>30</v>
      </c>
      <c r="T295" s="18" t="s">
        <v>35</v>
      </c>
      <c r="U295" s="18" t="s">
        <v>88</v>
      </c>
      <c r="V295" s="18" t="s">
        <v>89</v>
      </c>
      <c r="W295" s="19">
        <v>40</v>
      </c>
      <c r="X295" s="18">
        <v>28</v>
      </c>
      <c r="Y295" s="19">
        <v>1120</v>
      </c>
      <c r="Z295" s="20">
        <v>110.88</v>
      </c>
    </row>
    <row r="296" spans="1:26" x14ac:dyDescent="0.25">
      <c r="A296" s="16">
        <v>1342</v>
      </c>
      <c r="B296" s="17">
        <v>41951</v>
      </c>
      <c r="C296" s="18">
        <v>8</v>
      </c>
      <c r="D296" s="18" t="s">
        <v>56</v>
      </c>
      <c r="E296" s="18" t="s">
        <v>57</v>
      </c>
      <c r="F296" s="18" t="s">
        <v>58</v>
      </c>
      <c r="G296" s="18" t="s">
        <v>59</v>
      </c>
      <c r="H296" s="18">
        <v>99999</v>
      </c>
      <c r="I296" s="18" t="s">
        <v>30</v>
      </c>
      <c r="J296" s="18" t="s">
        <v>60</v>
      </c>
      <c r="K296" s="18" t="s">
        <v>61</v>
      </c>
      <c r="L296" s="17">
        <v>41953</v>
      </c>
      <c r="M296" s="18" t="s">
        <v>33</v>
      </c>
      <c r="N296" s="18" t="s">
        <v>63</v>
      </c>
      <c r="O296" s="18" t="s">
        <v>57</v>
      </c>
      <c r="P296" s="18" t="s">
        <v>58</v>
      </c>
      <c r="Q296" s="18" t="s">
        <v>59</v>
      </c>
      <c r="R296" s="18">
        <v>99999</v>
      </c>
      <c r="S296" s="18" t="s">
        <v>30</v>
      </c>
      <c r="T296" s="18" t="s">
        <v>35</v>
      </c>
      <c r="U296" s="18" t="s">
        <v>64</v>
      </c>
      <c r="V296" s="18" t="s">
        <v>65</v>
      </c>
      <c r="W296" s="19">
        <v>9.1999999999999993</v>
      </c>
      <c r="X296" s="18">
        <v>19</v>
      </c>
      <c r="Y296" s="19">
        <v>174.79999999999998</v>
      </c>
      <c r="Z296" s="20">
        <v>17.130400000000002</v>
      </c>
    </row>
    <row r="297" spans="1:26" x14ac:dyDescent="0.25">
      <c r="A297" s="16">
        <v>1343</v>
      </c>
      <c r="B297" s="17">
        <v>41968</v>
      </c>
      <c r="C297" s="18">
        <v>25</v>
      </c>
      <c r="D297" s="18" t="s">
        <v>137</v>
      </c>
      <c r="E297" s="18" t="s">
        <v>138</v>
      </c>
      <c r="F297" s="18" t="s">
        <v>99</v>
      </c>
      <c r="G297" s="18" t="s">
        <v>100</v>
      </c>
      <c r="H297" s="18">
        <v>99999</v>
      </c>
      <c r="I297" s="18" t="s">
        <v>30</v>
      </c>
      <c r="J297" s="18" t="s">
        <v>101</v>
      </c>
      <c r="K297" s="18" t="s">
        <v>45</v>
      </c>
      <c r="L297" s="17">
        <v>41970</v>
      </c>
      <c r="M297" s="18" t="s">
        <v>46</v>
      </c>
      <c r="N297" s="18" t="s">
        <v>139</v>
      </c>
      <c r="O297" s="18" t="s">
        <v>138</v>
      </c>
      <c r="P297" s="18" t="s">
        <v>99</v>
      </c>
      <c r="Q297" s="18" t="s">
        <v>100</v>
      </c>
      <c r="R297" s="18">
        <v>99999</v>
      </c>
      <c r="S297" s="18" t="s">
        <v>30</v>
      </c>
      <c r="T297" s="18" t="s">
        <v>79</v>
      </c>
      <c r="U297" s="18" t="s">
        <v>146</v>
      </c>
      <c r="V297" s="18" t="s">
        <v>65</v>
      </c>
      <c r="W297" s="19">
        <v>10</v>
      </c>
      <c r="X297" s="18">
        <v>99</v>
      </c>
      <c r="Y297" s="19">
        <v>990</v>
      </c>
      <c r="Z297" s="20">
        <v>102.96000000000001</v>
      </c>
    </row>
    <row r="298" spans="1:26" x14ac:dyDescent="0.25">
      <c r="A298" s="16">
        <v>1344</v>
      </c>
      <c r="B298" s="17">
        <v>41969</v>
      </c>
      <c r="C298" s="18">
        <v>26</v>
      </c>
      <c r="D298" s="18" t="s">
        <v>140</v>
      </c>
      <c r="E298" s="18" t="s">
        <v>141</v>
      </c>
      <c r="F298" s="18" t="s">
        <v>115</v>
      </c>
      <c r="G298" s="18" t="s">
        <v>116</v>
      </c>
      <c r="H298" s="18">
        <v>99999</v>
      </c>
      <c r="I298" s="18" t="s">
        <v>30</v>
      </c>
      <c r="J298" s="18" t="s">
        <v>94</v>
      </c>
      <c r="K298" s="18" t="s">
        <v>95</v>
      </c>
      <c r="L298" s="17">
        <v>41971</v>
      </c>
      <c r="M298" s="18" t="s">
        <v>62</v>
      </c>
      <c r="N298" s="18" t="s">
        <v>142</v>
      </c>
      <c r="O298" s="18" t="s">
        <v>141</v>
      </c>
      <c r="P298" s="18" t="s">
        <v>115</v>
      </c>
      <c r="Q298" s="18" t="s">
        <v>116</v>
      </c>
      <c r="R298" s="18">
        <v>99999</v>
      </c>
      <c r="S298" s="18" t="s">
        <v>30</v>
      </c>
      <c r="T298" s="18" t="s">
        <v>48</v>
      </c>
      <c r="U298" s="18" t="s">
        <v>147</v>
      </c>
      <c r="V298" s="18" t="s">
        <v>148</v>
      </c>
      <c r="W298" s="19">
        <v>21.35</v>
      </c>
      <c r="X298" s="18">
        <v>69</v>
      </c>
      <c r="Y298" s="19">
        <v>1473.15</v>
      </c>
      <c r="Z298" s="20">
        <v>153.20760000000004</v>
      </c>
    </row>
    <row r="299" spans="1:26" x14ac:dyDescent="0.25">
      <c r="A299" s="16">
        <v>1345</v>
      </c>
      <c r="B299" s="17">
        <v>41969</v>
      </c>
      <c r="C299" s="18">
        <v>26</v>
      </c>
      <c r="D299" s="18" t="s">
        <v>140</v>
      </c>
      <c r="E299" s="18" t="s">
        <v>141</v>
      </c>
      <c r="F299" s="18" t="s">
        <v>115</v>
      </c>
      <c r="G299" s="18" t="s">
        <v>116</v>
      </c>
      <c r="H299" s="18">
        <v>99999</v>
      </c>
      <c r="I299" s="18" t="s">
        <v>30</v>
      </c>
      <c r="J299" s="18" t="s">
        <v>94</v>
      </c>
      <c r="K299" s="18" t="s">
        <v>95</v>
      </c>
      <c r="L299" s="17">
        <v>41971</v>
      </c>
      <c r="M299" s="18" t="s">
        <v>62</v>
      </c>
      <c r="N299" s="18" t="s">
        <v>142</v>
      </c>
      <c r="O299" s="18" t="s">
        <v>141</v>
      </c>
      <c r="P299" s="18" t="s">
        <v>115</v>
      </c>
      <c r="Q299" s="18" t="s">
        <v>116</v>
      </c>
      <c r="R299" s="18">
        <v>99999</v>
      </c>
      <c r="S299" s="18" t="s">
        <v>30</v>
      </c>
      <c r="T299" s="18" t="s">
        <v>48</v>
      </c>
      <c r="U299" s="18" t="s">
        <v>80</v>
      </c>
      <c r="V299" s="18" t="s">
        <v>81</v>
      </c>
      <c r="W299" s="19">
        <v>9.65</v>
      </c>
      <c r="X299" s="18">
        <v>37</v>
      </c>
      <c r="Y299" s="19">
        <v>357.05</v>
      </c>
      <c r="Z299" s="20">
        <v>33.919750000000001</v>
      </c>
    </row>
    <row r="300" spans="1:26" x14ac:dyDescent="0.25">
      <c r="A300" s="16">
        <v>1346</v>
      </c>
      <c r="B300" s="17">
        <v>41969</v>
      </c>
      <c r="C300" s="18">
        <v>26</v>
      </c>
      <c r="D300" s="18" t="s">
        <v>140</v>
      </c>
      <c r="E300" s="18" t="s">
        <v>141</v>
      </c>
      <c r="F300" s="18" t="s">
        <v>115</v>
      </c>
      <c r="G300" s="18" t="s">
        <v>116</v>
      </c>
      <c r="H300" s="18">
        <v>99999</v>
      </c>
      <c r="I300" s="18" t="s">
        <v>30</v>
      </c>
      <c r="J300" s="18" t="s">
        <v>94</v>
      </c>
      <c r="K300" s="18" t="s">
        <v>95</v>
      </c>
      <c r="L300" s="17">
        <v>41971</v>
      </c>
      <c r="M300" s="18" t="s">
        <v>62</v>
      </c>
      <c r="N300" s="18" t="s">
        <v>142</v>
      </c>
      <c r="O300" s="18" t="s">
        <v>141</v>
      </c>
      <c r="P300" s="18" t="s">
        <v>115</v>
      </c>
      <c r="Q300" s="18" t="s">
        <v>116</v>
      </c>
      <c r="R300" s="18">
        <v>99999</v>
      </c>
      <c r="S300" s="18" t="s">
        <v>30</v>
      </c>
      <c r="T300" s="18" t="s">
        <v>48</v>
      </c>
      <c r="U300" s="18" t="s">
        <v>123</v>
      </c>
      <c r="V300" s="18" t="s">
        <v>124</v>
      </c>
      <c r="W300" s="19">
        <v>18.399999999999999</v>
      </c>
      <c r="X300" s="18">
        <v>64</v>
      </c>
      <c r="Y300" s="19">
        <v>1177.5999999999999</v>
      </c>
      <c r="Z300" s="20">
        <v>118.93759999999999</v>
      </c>
    </row>
    <row r="301" spans="1:26" x14ac:dyDescent="0.25">
      <c r="A301" s="16">
        <v>1347</v>
      </c>
      <c r="B301" s="17">
        <v>41972</v>
      </c>
      <c r="C301" s="18">
        <v>29</v>
      </c>
      <c r="D301" s="18" t="s">
        <v>66</v>
      </c>
      <c r="E301" s="18" t="s">
        <v>67</v>
      </c>
      <c r="F301" s="18" t="s">
        <v>68</v>
      </c>
      <c r="G301" s="18" t="s">
        <v>69</v>
      </c>
      <c r="H301" s="18">
        <v>99999</v>
      </c>
      <c r="I301" s="18" t="s">
        <v>30</v>
      </c>
      <c r="J301" s="18" t="s">
        <v>70</v>
      </c>
      <c r="K301" s="18" t="s">
        <v>32</v>
      </c>
      <c r="L301" s="17">
        <v>41974</v>
      </c>
      <c r="M301" s="18" t="s">
        <v>33</v>
      </c>
      <c r="N301" s="18" t="s">
        <v>71</v>
      </c>
      <c r="O301" s="18" t="s">
        <v>67</v>
      </c>
      <c r="P301" s="18" t="s">
        <v>68</v>
      </c>
      <c r="Q301" s="18" t="s">
        <v>69</v>
      </c>
      <c r="R301" s="18">
        <v>99999</v>
      </c>
      <c r="S301" s="18" t="s">
        <v>30</v>
      </c>
      <c r="T301" s="18" t="s">
        <v>35</v>
      </c>
      <c r="U301" s="18" t="s">
        <v>36</v>
      </c>
      <c r="V301" s="18" t="s">
        <v>37</v>
      </c>
      <c r="W301" s="19">
        <v>14</v>
      </c>
      <c r="X301" s="18">
        <v>38</v>
      </c>
      <c r="Y301" s="19">
        <v>532</v>
      </c>
      <c r="Z301" s="20">
        <v>55.328000000000003</v>
      </c>
    </row>
    <row r="302" spans="1:26" x14ac:dyDescent="0.25">
      <c r="A302" s="16">
        <v>1348</v>
      </c>
      <c r="B302" s="17">
        <v>41949</v>
      </c>
      <c r="C302" s="18">
        <v>6</v>
      </c>
      <c r="D302" s="18" t="s">
        <v>82</v>
      </c>
      <c r="E302" s="18" t="s">
        <v>83</v>
      </c>
      <c r="F302" s="18" t="s">
        <v>84</v>
      </c>
      <c r="G302" s="18" t="s">
        <v>85</v>
      </c>
      <c r="H302" s="18">
        <v>99999</v>
      </c>
      <c r="I302" s="18" t="s">
        <v>30</v>
      </c>
      <c r="J302" s="18" t="s">
        <v>86</v>
      </c>
      <c r="K302" s="18" t="s">
        <v>61</v>
      </c>
      <c r="L302" s="17">
        <v>41951</v>
      </c>
      <c r="M302" s="18" t="s">
        <v>62</v>
      </c>
      <c r="N302" s="18" t="s">
        <v>87</v>
      </c>
      <c r="O302" s="18" t="s">
        <v>83</v>
      </c>
      <c r="P302" s="18" t="s">
        <v>84</v>
      </c>
      <c r="Q302" s="18" t="s">
        <v>85</v>
      </c>
      <c r="R302" s="18">
        <v>99999</v>
      </c>
      <c r="S302" s="18" t="s">
        <v>30</v>
      </c>
      <c r="T302" s="18" t="s">
        <v>35</v>
      </c>
      <c r="U302" s="18" t="s">
        <v>72</v>
      </c>
      <c r="V302" s="18" t="s">
        <v>73</v>
      </c>
      <c r="W302" s="19">
        <v>12.75</v>
      </c>
      <c r="X302" s="18">
        <v>15</v>
      </c>
      <c r="Y302" s="19">
        <v>191.25</v>
      </c>
      <c r="Z302" s="20">
        <v>18.55125</v>
      </c>
    </row>
    <row r="303" spans="1:26" x14ac:dyDescent="0.25">
      <c r="A303" s="16">
        <v>1350</v>
      </c>
      <c r="B303" s="17">
        <v>41947</v>
      </c>
      <c r="C303" s="18">
        <v>4</v>
      </c>
      <c r="D303" s="18" t="s">
        <v>40</v>
      </c>
      <c r="E303" s="18" t="s">
        <v>41</v>
      </c>
      <c r="F303" s="18" t="s">
        <v>42</v>
      </c>
      <c r="G303" s="18" t="s">
        <v>43</v>
      </c>
      <c r="H303" s="18">
        <v>99999</v>
      </c>
      <c r="I303" s="18" t="s">
        <v>30</v>
      </c>
      <c r="J303" s="18" t="s">
        <v>44</v>
      </c>
      <c r="K303" s="18" t="s">
        <v>45</v>
      </c>
      <c r="L303" s="17">
        <v>41949</v>
      </c>
      <c r="M303" s="18" t="s">
        <v>46</v>
      </c>
      <c r="N303" s="18" t="s">
        <v>47</v>
      </c>
      <c r="O303" s="18" t="s">
        <v>41</v>
      </c>
      <c r="P303" s="18" t="s">
        <v>42</v>
      </c>
      <c r="Q303" s="18" t="s">
        <v>43</v>
      </c>
      <c r="R303" s="18">
        <v>99999</v>
      </c>
      <c r="S303" s="18" t="s">
        <v>30</v>
      </c>
      <c r="T303" s="18" t="s">
        <v>48</v>
      </c>
      <c r="U303" s="18" t="s">
        <v>149</v>
      </c>
      <c r="V303" s="18" t="s">
        <v>110</v>
      </c>
      <c r="W303" s="19">
        <v>81</v>
      </c>
      <c r="X303" s="18">
        <v>52</v>
      </c>
      <c r="Y303" s="19">
        <v>4212</v>
      </c>
      <c r="Z303" s="20">
        <v>412.77600000000001</v>
      </c>
    </row>
    <row r="304" spans="1:26" x14ac:dyDescent="0.25">
      <c r="A304" s="16">
        <v>1351</v>
      </c>
      <c r="B304" s="17">
        <v>41947</v>
      </c>
      <c r="C304" s="18">
        <v>4</v>
      </c>
      <c r="D304" s="18" t="s">
        <v>40</v>
      </c>
      <c r="E304" s="18" t="s">
        <v>41</v>
      </c>
      <c r="F304" s="18" t="s">
        <v>42</v>
      </c>
      <c r="G304" s="18" t="s">
        <v>43</v>
      </c>
      <c r="H304" s="18">
        <v>99999</v>
      </c>
      <c r="I304" s="18" t="s">
        <v>30</v>
      </c>
      <c r="J304" s="18" t="s">
        <v>44</v>
      </c>
      <c r="K304" s="18" t="s">
        <v>45</v>
      </c>
      <c r="L304" s="17">
        <v>41949</v>
      </c>
      <c r="M304" s="18" t="s">
        <v>46</v>
      </c>
      <c r="N304" s="18" t="s">
        <v>47</v>
      </c>
      <c r="O304" s="18" t="s">
        <v>41</v>
      </c>
      <c r="P304" s="18" t="s">
        <v>42</v>
      </c>
      <c r="Q304" s="18" t="s">
        <v>43</v>
      </c>
      <c r="R304" s="18">
        <v>99999</v>
      </c>
      <c r="S304" s="18" t="s">
        <v>30</v>
      </c>
      <c r="T304" s="18" t="s">
        <v>48</v>
      </c>
      <c r="U304" s="18" t="s">
        <v>150</v>
      </c>
      <c r="V304" s="18" t="s">
        <v>151</v>
      </c>
      <c r="W304" s="19">
        <v>7</v>
      </c>
      <c r="X304" s="18">
        <v>37</v>
      </c>
      <c r="Y304" s="19">
        <v>259</v>
      </c>
      <c r="Z304" s="20">
        <v>25.382000000000001</v>
      </c>
    </row>
    <row r="305" spans="1:26" x14ac:dyDescent="0.25">
      <c r="A305" s="16">
        <v>1353</v>
      </c>
      <c r="B305" s="17">
        <v>41951</v>
      </c>
      <c r="C305" s="18">
        <v>8</v>
      </c>
      <c r="D305" s="18" t="s">
        <v>56</v>
      </c>
      <c r="E305" s="18" t="s">
        <v>57</v>
      </c>
      <c r="F305" s="18" t="s">
        <v>58</v>
      </c>
      <c r="G305" s="18" t="s">
        <v>59</v>
      </c>
      <c r="H305" s="18">
        <v>99999</v>
      </c>
      <c r="I305" s="18" t="s">
        <v>30</v>
      </c>
      <c r="J305" s="18" t="s">
        <v>60</v>
      </c>
      <c r="K305" s="18" t="s">
        <v>61</v>
      </c>
      <c r="L305" s="17">
        <v>41953</v>
      </c>
      <c r="M305" s="18" t="s">
        <v>62</v>
      </c>
      <c r="N305" s="18" t="s">
        <v>63</v>
      </c>
      <c r="O305" s="18" t="s">
        <v>57</v>
      </c>
      <c r="P305" s="18" t="s">
        <v>58</v>
      </c>
      <c r="Q305" s="18" t="s">
        <v>59</v>
      </c>
      <c r="R305" s="18">
        <v>99999</v>
      </c>
      <c r="S305" s="18" t="s">
        <v>30</v>
      </c>
      <c r="T305" s="18" t="s">
        <v>48</v>
      </c>
      <c r="U305" s="18" t="s">
        <v>133</v>
      </c>
      <c r="V305" s="18" t="s">
        <v>134</v>
      </c>
      <c r="W305" s="19">
        <v>34.799999999999997</v>
      </c>
      <c r="X305" s="18">
        <v>24</v>
      </c>
      <c r="Y305" s="19">
        <v>835.19999999999993</v>
      </c>
      <c r="Z305" s="20">
        <v>80.179199999999994</v>
      </c>
    </row>
    <row r="306" spans="1:26" x14ac:dyDescent="0.25">
      <c r="A306" s="16">
        <v>1356</v>
      </c>
      <c r="B306" s="17">
        <v>41946</v>
      </c>
      <c r="C306" s="18">
        <v>3</v>
      </c>
      <c r="D306" s="18" t="s">
        <v>74</v>
      </c>
      <c r="E306" s="18" t="s">
        <v>75</v>
      </c>
      <c r="F306" s="18" t="s">
        <v>76</v>
      </c>
      <c r="G306" s="18" t="s">
        <v>77</v>
      </c>
      <c r="H306" s="18">
        <v>99999</v>
      </c>
      <c r="I306" s="18" t="s">
        <v>30</v>
      </c>
      <c r="J306" s="18" t="s">
        <v>31</v>
      </c>
      <c r="K306" s="18" t="s">
        <v>32</v>
      </c>
      <c r="L306" s="17">
        <v>41948</v>
      </c>
      <c r="M306" s="18" t="s">
        <v>33</v>
      </c>
      <c r="N306" s="18" t="s">
        <v>78</v>
      </c>
      <c r="O306" s="18" t="s">
        <v>75</v>
      </c>
      <c r="P306" s="18" t="s">
        <v>76</v>
      </c>
      <c r="Q306" s="18" t="s">
        <v>77</v>
      </c>
      <c r="R306" s="18">
        <v>99999</v>
      </c>
      <c r="S306" s="18" t="s">
        <v>30</v>
      </c>
      <c r="T306" s="18" t="s">
        <v>79</v>
      </c>
      <c r="U306" s="18" t="s">
        <v>135</v>
      </c>
      <c r="V306" s="18" t="s">
        <v>112</v>
      </c>
      <c r="W306" s="19">
        <v>10</v>
      </c>
      <c r="X306" s="18">
        <v>36</v>
      </c>
      <c r="Y306" s="19">
        <v>360</v>
      </c>
      <c r="Z306" s="20">
        <v>37.08</v>
      </c>
    </row>
    <row r="307" spans="1:26" x14ac:dyDescent="0.25">
      <c r="A307" s="16">
        <v>1357</v>
      </c>
      <c r="B307" s="17">
        <v>41946</v>
      </c>
      <c r="C307" s="18">
        <v>3</v>
      </c>
      <c r="D307" s="18" t="s">
        <v>74</v>
      </c>
      <c r="E307" s="18" t="s">
        <v>75</v>
      </c>
      <c r="F307" s="18" t="s">
        <v>76</v>
      </c>
      <c r="G307" s="18" t="s">
        <v>77</v>
      </c>
      <c r="H307" s="18">
        <v>99999</v>
      </c>
      <c r="I307" s="18" t="s">
        <v>30</v>
      </c>
      <c r="J307" s="18" t="s">
        <v>31</v>
      </c>
      <c r="K307" s="18" t="s">
        <v>32</v>
      </c>
      <c r="L307" s="17">
        <v>41948</v>
      </c>
      <c r="M307" s="18" t="s">
        <v>33</v>
      </c>
      <c r="N307" s="18" t="s">
        <v>78</v>
      </c>
      <c r="O307" s="18" t="s">
        <v>75</v>
      </c>
      <c r="P307" s="18" t="s">
        <v>76</v>
      </c>
      <c r="Q307" s="18" t="s">
        <v>77</v>
      </c>
      <c r="R307" s="18">
        <v>99999</v>
      </c>
      <c r="S307" s="18" t="s">
        <v>30</v>
      </c>
      <c r="T307" s="18" t="s">
        <v>79</v>
      </c>
      <c r="U307" s="18" t="s">
        <v>88</v>
      </c>
      <c r="V307" s="18" t="s">
        <v>89</v>
      </c>
      <c r="W307" s="19">
        <v>40</v>
      </c>
      <c r="X307" s="18">
        <v>24</v>
      </c>
      <c r="Y307" s="19">
        <v>960</v>
      </c>
      <c r="Z307" s="20">
        <v>96</v>
      </c>
    </row>
    <row r="308" spans="1:26" x14ac:dyDescent="0.25">
      <c r="A308" s="16">
        <v>1361</v>
      </c>
      <c r="B308" s="17">
        <v>41953</v>
      </c>
      <c r="C308" s="18">
        <v>10</v>
      </c>
      <c r="D308" s="18" t="s">
        <v>97</v>
      </c>
      <c r="E308" s="18" t="s">
        <v>98</v>
      </c>
      <c r="F308" s="18" t="s">
        <v>99</v>
      </c>
      <c r="G308" s="18" t="s">
        <v>100</v>
      </c>
      <c r="H308" s="18">
        <v>99999</v>
      </c>
      <c r="I308" s="18" t="s">
        <v>30</v>
      </c>
      <c r="J308" s="18" t="s">
        <v>101</v>
      </c>
      <c r="K308" s="18" t="s">
        <v>45</v>
      </c>
      <c r="L308" s="17">
        <v>41955</v>
      </c>
      <c r="M308" s="18" t="s">
        <v>33</v>
      </c>
      <c r="N308" s="18" t="s">
        <v>102</v>
      </c>
      <c r="O308" s="18" t="s">
        <v>98</v>
      </c>
      <c r="P308" s="18" t="s">
        <v>99</v>
      </c>
      <c r="Q308" s="18" t="s">
        <v>100</v>
      </c>
      <c r="R308" s="18">
        <v>99999</v>
      </c>
      <c r="S308" s="18" t="s">
        <v>30</v>
      </c>
      <c r="T308" s="18" t="s">
        <v>48</v>
      </c>
      <c r="U308" s="18" t="s">
        <v>136</v>
      </c>
      <c r="V308" s="18" t="s">
        <v>39</v>
      </c>
      <c r="W308" s="19">
        <v>10</v>
      </c>
      <c r="X308" s="18">
        <v>20</v>
      </c>
      <c r="Y308" s="19">
        <v>200</v>
      </c>
      <c r="Z308" s="20">
        <v>20</v>
      </c>
    </row>
    <row r="309" spans="1:26" x14ac:dyDescent="0.25">
      <c r="A309" s="16">
        <v>1363</v>
      </c>
      <c r="B309" s="17">
        <v>41953</v>
      </c>
      <c r="C309" s="18">
        <v>10</v>
      </c>
      <c r="D309" s="18" t="s">
        <v>97</v>
      </c>
      <c r="E309" s="18" t="s">
        <v>98</v>
      </c>
      <c r="F309" s="18" t="s">
        <v>99</v>
      </c>
      <c r="G309" s="18" t="s">
        <v>100</v>
      </c>
      <c r="H309" s="18">
        <v>99999</v>
      </c>
      <c r="I309" s="18" t="s">
        <v>30</v>
      </c>
      <c r="J309" s="18" t="s">
        <v>101</v>
      </c>
      <c r="K309" s="18" t="s">
        <v>45</v>
      </c>
      <c r="L309" s="17"/>
      <c r="M309" s="18" t="s">
        <v>46</v>
      </c>
      <c r="N309" s="18" t="s">
        <v>102</v>
      </c>
      <c r="O309" s="18" t="s">
        <v>98</v>
      </c>
      <c r="P309" s="18" t="s">
        <v>99</v>
      </c>
      <c r="Q309" s="18" t="s">
        <v>100</v>
      </c>
      <c r="R309" s="18">
        <v>99999</v>
      </c>
      <c r="S309" s="18" t="s">
        <v>30</v>
      </c>
      <c r="T309" s="18"/>
      <c r="U309" s="18" t="s">
        <v>38</v>
      </c>
      <c r="V309" s="18" t="s">
        <v>39</v>
      </c>
      <c r="W309" s="19">
        <v>3.5</v>
      </c>
      <c r="X309" s="18">
        <v>11</v>
      </c>
      <c r="Y309" s="19">
        <v>38.5</v>
      </c>
      <c r="Z309" s="20">
        <v>3.7345000000000002</v>
      </c>
    </row>
    <row r="310" spans="1:26" x14ac:dyDescent="0.25">
      <c r="A310" s="16">
        <v>1364</v>
      </c>
      <c r="B310" s="17">
        <v>41954</v>
      </c>
      <c r="C310" s="18">
        <v>11</v>
      </c>
      <c r="D310" s="18" t="s">
        <v>113</v>
      </c>
      <c r="E310" s="18" t="s">
        <v>114</v>
      </c>
      <c r="F310" s="18" t="s">
        <v>115</v>
      </c>
      <c r="G310" s="18" t="s">
        <v>116</v>
      </c>
      <c r="H310" s="18">
        <v>99999</v>
      </c>
      <c r="I310" s="18" t="s">
        <v>30</v>
      </c>
      <c r="J310" s="18" t="s">
        <v>94</v>
      </c>
      <c r="K310" s="18" t="s">
        <v>95</v>
      </c>
      <c r="L310" s="17"/>
      <c r="M310" s="18" t="s">
        <v>62</v>
      </c>
      <c r="N310" s="18" t="s">
        <v>117</v>
      </c>
      <c r="O310" s="18" t="s">
        <v>114</v>
      </c>
      <c r="P310" s="18" t="s">
        <v>115</v>
      </c>
      <c r="Q310" s="18" t="s">
        <v>116</v>
      </c>
      <c r="R310" s="18">
        <v>99999</v>
      </c>
      <c r="S310" s="18" t="s">
        <v>30</v>
      </c>
      <c r="T310" s="18"/>
      <c r="U310" s="18" t="s">
        <v>88</v>
      </c>
      <c r="V310" s="18" t="s">
        <v>89</v>
      </c>
      <c r="W310" s="19">
        <v>40</v>
      </c>
      <c r="X310" s="18">
        <v>78</v>
      </c>
      <c r="Y310" s="19">
        <v>3120</v>
      </c>
      <c r="Z310" s="20">
        <v>299.52</v>
      </c>
    </row>
    <row r="311" spans="1:26" x14ac:dyDescent="0.25">
      <c r="A311" s="16">
        <v>1365</v>
      </c>
      <c r="B311" s="17">
        <v>41944</v>
      </c>
      <c r="C311" s="18">
        <v>1</v>
      </c>
      <c r="D311" s="18" t="s">
        <v>118</v>
      </c>
      <c r="E311" s="18" t="s">
        <v>119</v>
      </c>
      <c r="F311" s="18" t="s">
        <v>120</v>
      </c>
      <c r="G311" s="18" t="s">
        <v>121</v>
      </c>
      <c r="H311" s="18">
        <v>99999</v>
      </c>
      <c r="I311" s="18" t="s">
        <v>30</v>
      </c>
      <c r="J311" s="18" t="s">
        <v>60</v>
      </c>
      <c r="K311" s="18" t="s">
        <v>61</v>
      </c>
      <c r="L311" s="17"/>
      <c r="M311" s="18" t="s">
        <v>62</v>
      </c>
      <c r="N311" s="18" t="s">
        <v>122</v>
      </c>
      <c r="O311" s="18" t="s">
        <v>119</v>
      </c>
      <c r="P311" s="18" t="s">
        <v>120</v>
      </c>
      <c r="Q311" s="18" t="s">
        <v>121</v>
      </c>
      <c r="R311" s="18">
        <v>99999</v>
      </c>
      <c r="S311" s="18" t="s">
        <v>30</v>
      </c>
      <c r="T311" s="18"/>
      <c r="U311" s="18" t="s">
        <v>123</v>
      </c>
      <c r="V311" s="18" t="s">
        <v>124</v>
      </c>
      <c r="W311" s="19">
        <v>18.399999999999999</v>
      </c>
      <c r="X311" s="18">
        <v>76</v>
      </c>
      <c r="Y311" s="19">
        <v>1398.3999999999999</v>
      </c>
      <c r="Z311" s="20">
        <v>144.0352</v>
      </c>
    </row>
    <row r="312" spans="1:26" x14ac:dyDescent="0.25">
      <c r="A312" s="16">
        <v>1366</v>
      </c>
      <c r="B312" s="17">
        <v>41971</v>
      </c>
      <c r="C312" s="18">
        <v>28</v>
      </c>
      <c r="D312" s="18" t="s">
        <v>90</v>
      </c>
      <c r="E312" s="18" t="s">
        <v>91</v>
      </c>
      <c r="F312" s="18" t="s">
        <v>92</v>
      </c>
      <c r="G312" s="18" t="s">
        <v>93</v>
      </c>
      <c r="H312" s="18">
        <v>99999</v>
      </c>
      <c r="I312" s="18" t="s">
        <v>30</v>
      </c>
      <c r="J312" s="18" t="s">
        <v>94</v>
      </c>
      <c r="K312" s="18" t="s">
        <v>95</v>
      </c>
      <c r="L312" s="17">
        <v>41973</v>
      </c>
      <c r="M312" s="18" t="s">
        <v>62</v>
      </c>
      <c r="N312" s="18" t="s">
        <v>96</v>
      </c>
      <c r="O312" s="18" t="s">
        <v>91</v>
      </c>
      <c r="P312" s="18" t="s">
        <v>92</v>
      </c>
      <c r="Q312" s="18" t="s">
        <v>93</v>
      </c>
      <c r="R312" s="18">
        <v>99999</v>
      </c>
      <c r="S312" s="18" t="s">
        <v>30</v>
      </c>
      <c r="T312" s="18" t="s">
        <v>48</v>
      </c>
      <c r="U312" s="18" t="s">
        <v>55</v>
      </c>
      <c r="V312" s="18" t="s">
        <v>37</v>
      </c>
      <c r="W312" s="19">
        <v>46</v>
      </c>
      <c r="X312" s="18">
        <v>57</v>
      </c>
      <c r="Y312" s="19">
        <v>2622</v>
      </c>
      <c r="Z312" s="20">
        <v>272.68799999999999</v>
      </c>
    </row>
    <row r="313" spans="1:26" x14ac:dyDescent="0.25">
      <c r="A313" s="16">
        <v>1367</v>
      </c>
      <c r="B313" s="17">
        <v>41952</v>
      </c>
      <c r="C313" s="18">
        <v>9</v>
      </c>
      <c r="D313" s="18" t="s">
        <v>125</v>
      </c>
      <c r="E313" s="18" t="s">
        <v>126</v>
      </c>
      <c r="F313" s="18" t="s">
        <v>127</v>
      </c>
      <c r="G313" s="18" t="s">
        <v>128</v>
      </c>
      <c r="H313" s="18">
        <v>99999</v>
      </c>
      <c r="I313" s="18" t="s">
        <v>30</v>
      </c>
      <c r="J313" s="18" t="s">
        <v>129</v>
      </c>
      <c r="K313" s="18" t="s">
        <v>32</v>
      </c>
      <c r="L313" s="17">
        <v>41954</v>
      </c>
      <c r="M313" s="18" t="s">
        <v>46</v>
      </c>
      <c r="N313" s="18" t="s">
        <v>130</v>
      </c>
      <c r="O313" s="18" t="s">
        <v>126</v>
      </c>
      <c r="P313" s="18" t="s">
        <v>127</v>
      </c>
      <c r="Q313" s="18" t="s">
        <v>128</v>
      </c>
      <c r="R313" s="18">
        <v>99999</v>
      </c>
      <c r="S313" s="18" t="s">
        <v>30</v>
      </c>
      <c r="T313" s="18" t="s">
        <v>35</v>
      </c>
      <c r="U313" s="18" t="s">
        <v>80</v>
      </c>
      <c r="V313" s="18" t="s">
        <v>81</v>
      </c>
      <c r="W313" s="19">
        <v>9.65</v>
      </c>
      <c r="X313" s="18">
        <v>14</v>
      </c>
      <c r="Y313" s="19">
        <v>135.1</v>
      </c>
      <c r="Z313" s="20">
        <v>12.9696</v>
      </c>
    </row>
    <row r="314" spans="1:26" x14ac:dyDescent="0.25">
      <c r="A314" s="16">
        <v>1368</v>
      </c>
      <c r="B314" s="17">
        <v>42000</v>
      </c>
      <c r="C314" s="18">
        <v>27</v>
      </c>
      <c r="D314" s="18" t="s">
        <v>26</v>
      </c>
      <c r="E314" s="18" t="s">
        <v>27</v>
      </c>
      <c r="F314" s="18" t="s">
        <v>28</v>
      </c>
      <c r="G314" s="18" t="s">
        <v>29</v>
      </c>
      <c r="H314" s="18">
        <v>99999</v>
      </c>
      <c r="I314" s="18" t="s">
        <v>30</v>
      </c>
      <c r="J314" s="18" t="s">
        <v>31</v>
      </c>
      <c r="K314" s="18" t="s">
        <v>32</v>
      </c>
      <c r="L314" s="17">
        <v>42002</v>
      </c>
      <c r="M314" s="18" t="s">
        <v>33</v>
      </c>
      <c r="N314" s="18" t="s">
        <v>34</v>
      </c>
      <c r="O314" s="18" t="s">
        <v>27</v>
      </c>
      <c r="P314" s="18" t="s">
        <v>28</v>
      </c>
      <c r="Q314" s="18" t="s">
        <v>29</v>
      </c>
      <c r="R314" s="18">
        <v>99999</v>
      </c>
      <c r="S314" s="18" t="s">
        <v>30</v>
      </c>
      <c r="T314" s="18" t="s">
        <v>35</v>
      </c>
      <c r="U314" s="18" t="s">
        <v>36</v>
      </c>
      <c r="V314" s="18" t="s">
        <v>37</v>
      </c>
      <c r="W314" s="19">
        <v>14</v>
      </c>
      <c r="X314" s="18">
        <v>14</v>
      </c>
      <c r="Y314" s="19">
        <v>196</v>
      </c>
      <c r="Z314" s="20">
        <v>19.796000000000003</v>
      </c>
    </row>
    <row r="315" spans="1:26" x14ac:dyDescent="0.25">
      <c r="A315" s="16">
        <v>1369</v>
      </c>
      <c r="B315" s="17">
        <v>42000</v>
      </c>
      <c r="C315" s="18">
        <v>27</v>
      </c>
      <c r="D315" s="18" t="s">
        <v>26</v>
      </c>
      <c r="E315" s="18" t="s">
        <v>27</v>
      </c>
      <c r="F315" s="18" t="s">
        <v>28</v>
      </c>
      <c r="G315" s="18" t="s">
        <v>29</v>
      </c>
      <c r="H315" s="18">
        <v>99999</v>
      </c>
      <c r="I315" s="18" t="s">
        <v>30</v>
      </c>
      <c r="J315" s="18" t="s">
        <v>31</v>
      </c>
      <c r="K315" s="18" t="s">
        <v>32</v>
      </c>
      <c r="L315" s="17">
        <v>42002</v>
      </c>
      <c r="M315" s="18" t="s">
        <v>33</v>
      </c>
      <c r="N315" s="18" t="s">
        <v>34</v>
      </c>
      <c r="O315" s="18" t="s">
        <v>27</v>
      </c>
      <c r="P315" s="18" t="s">
        <v>28</v>
      </c>
      <c r="Q315" s="18" t="s">
        <v>29</v>
      </c>
      <c r="R315" s="18">
        <v>99999</v>
      </c>
      <c r="S315" s="18" t="s">
        <v>30</v>
      </c>
      <c r="T315" s="18" t="s">
        <v>35</v>
      </c>
      <c r="U315" s="18" t="s">
        <v>38</v>
      </c>
      <c r="V315" s="18" t="s">
        <v>39</v>
      </c>
      <c r="W315" s="19">
        <v>3.5</v>
      </c>
      <c r="X315" s="18">
        <v>70</v>
      </c>
      <c r="Y315" s="19">
        <v>245</v>
      </c>
      <c r="Z315" s="20">
        <v>25.234999999999999</v>
      </c>
    </row>
    <row r="316" spans="1:26" x14ac:dyDescent="0.25">
      <c r="A316" s="16">
        <v>1370</v>
      </c>
      <c r="B316" s="17">
        <v>41977</v>
      </c>
      <c r="C316" s="18">
        <v>4</v>
      </c>
      <c r="D316" s="18" t="s">
        <v>40</v>
      </c>
      <c r="E316" s="18" t="s">
        <v>41</v>
      </c>
      <c r="F316" s="18" t="s">
        <v>42</v>
      </c>
      <c r="G316" s="18" t="s">
        <v>43</v>
      </c>
      <c r="H316" s="18">
        <v>99999</v>
      </c>
      <c r="I316" s="18" t="s">
        <v>30</v>
      </c>
      <c r="J316" s="18" t="s">
        <v>44</v>
      </c>
      <c r="K316" s="18" t="s">
        <v>45</v>
      </c>
      <c r="L316" s="17">
        <v>41979</v>
      </c>
      <c r="M316" s="18" t="s">
        <v>46</v>
      </c>
      <c r="N316" s="18" t="s">
        <v>47</v>
      </c>
      <c r="O316" s="18" t="s">
        <v>41</v>
      </c>
      <c r="P316" s="18" t="s">
        <v>42</v>
      </c>
      <c r="Q316" s="18" t="s">
        <v>43</v>
      </c>
      <c r="R316" s="18">
        <v>99999</v>
      </c>
      <c r="S316" s="18" t="s">
        <v>30</v>
      </c>
      <c r="T316" s="18" t="s">
        <v>48</v>
      </c>
      <c r="U316" s="18" t="s">
        <v>49</v>
      </c>
      <c r="V316" s="18" t="s">
        <v>39</v>
      </c>
      <c r="W316" s="19">
        <v>30</v>
      </c>
      <c r="X316" s="18">
        <v>100</v>
      </c>
      <c r="Y316" s="19">
        <v>3000</v>
      </c>
      <c r="Z316" s="20">
        <v>291</v>
      </c>
    </row>
    <row r="317" spans="1:26" x14ac:dyDescent="0.25">
      <c r="A317" s="16">
        <v>1371</v>
      </c>
      <c r="B317" s="17">
        <v>41977</v>
      </c>
      <c r="C317" s="18">
        <v>4</v>
      </c>
      <c r="D317" s="18" t="s">
        <v>40</v>
      </c>
      <c r="E317" s="18" t="s">
        <v>41</v>
      </c>
      <c r="F317" s="18" t="s">
        <v>42</v>
      </c>
      <c r="G317" s="18" t="s">
        <v>43</v>
      </c>
      <c r="H317" s="18">
        <v>99999</v>
      </c>
      <c r="I317" s="18" t="s">
        <v>30</v>
      </c>
      <c r="J317" s="18" t="s">
        <v>44</v>
      </c>
      <c r="K317" s="18" t="s">
        <v>45</v>
      </c>
      <c r="L317" s="17">
        <v>41979</v>
      </c>
      <c r="M317" s="18" t="s">
        <v>46</v>
      </c>
      <c r="N317" s="18" t="s">
        <v>47</v>
      </c>
      <c r="O317" s="18" t="s">
        <v>41</v>
      </c>
      <c r="P317" s="18" t="s">
        <v>42</v>
      </c>
      <c r="Q317" s="18" t="s">
        <v>43</v>
      </c>
      <c r="R317" s="18">
        <v>99999</v>
      </c>
      <c r="S317" s="18" t="s">
        <v>30</v>
      </c>
      <c r="T317" s="18" t="s">
        <v>48</v>
      </c>
      <c r="U317" s="18" t="s">
        <v>50</v>
      </c>
      <c r="V317" s="18" t="s">
        <v>39</v>
      </c>
      <c r="W317" s="19">
        <v>53</v>
      </c>
      <c r="X317" s="18">
        <v>27</v>
      </c>
      <c r="Y317" s="19">
        <v>1431</v>
      </c>
      <c r="Z317" s="20">
        <v>143.1</v>
      </c>
    </row>
    <row r="318" spans="1:26" x14ac:dyDescent="0.25">
      <c r="A318" s="16">
        <v>1372</v>
      </c>
      <c r="B318" s="17">
        <v>41977</v>
      </c>
      <c r="C318" s="18">
        <v>4</v>
      </c>
      <c r="D318" s="18" t="s">
        <v>40</v>
      </c>
      <c r="E318" s="18" t="s">
        <v>41</v>
      </c>
      <c r="F318" s="18" t="s">
        <v>42</v>
      </c>
      <c r="G318" s="18" t="s">
        <v>43</v>
      </c>
      <c r="H318" s="18">
        <v>99999</v>
      </c>
      <c r="I318" s="18" t="s">
        <v>30</v>
      </c>
      <c r="J318" s="18" t="s">
        <v>44</v>
      </c>
      <c r="K318" s="18" t="s">
        <v>45</v>
      </c>
      <c r="L318" s="17">
        <v>41979</v>
      </c>
      <c r="M318" s="18" t="s">
        <v>46</v>
      </c>
      <c r="N318" s="18" t="s">
        <v>47</v>
      </c>
      <c r="O318" s="18" t="s">
        <v>41</v>
      </c>
      <c r="P318" s="18" t="s">
        <v>42</v>
      </c>
      <c r="Q318" s="18" t="s">
        <v>43</v>
      </c>
      <c r="R318" s="18">
        <v>99999</v>
      </c>
      <c r="S318" s="18" t="s">
        <v>30</v>
      </c>
      <c r="T318" s="18" t="s">
        <v>48</v>
      </c>
      <c r="U318" s="18" t="s">
        <v>38</v>
      </c>
      <c r="V318" s="18" t="s">
        <v>39</v>
      </c>
      <c r="W318" s="19">
        <v>3.5</v>
      </c>
      <c r="X318" s="18">
        <v>70</v>
      </c>
      <c r="Y318" s="19">
        <v>245</v>
      </c>
      <c r="Z318" s="20">
        <v>24.009999999999998</v>
      </c>
    </row>
    <row r="319" spans="1:26" x14ac:dyDescent="0.25">
      <c r="A319" s="16">
        <v>1373</v>
      </c>
      <c r="B319" s="17">
        <v>41985</v>
      </c>
      <c r="C319" s="18">
        <v>12</v>
      </c>
      <c r="D319" s="18" t="s">
        <v>51</v>
      </c>
      <c r="E319" s="18" t="s">
        <v>52</v>
      </c>
      <c r="F319" s="18" t="s">
        <v>28</v>
      </c>
      <c r="G319" s="18" t="s">
        <v>29</v>
      </c>
      <c r="H319" s="18">
        <v>99999</v>
      </c>
      <c r="I319" s="18" t="s">
        <v>30</v>
      </c>
      <c r="J319" s="18" t="s">
        <v>31</v>
      </c>
      <c r="K319" s="18" t="s">
        <v>32</v>
      </c>
      <c r="L319" s="17">
        <v>41987</v>
      </c>
      <c r="M319" s="18" t="s">
        <v>33</v>
      </c>
      <c r="N319" s="18" t="s">
        <v>53</v>
      </c>
      <c r="O319" s="18" t="s">
        <v>52</v>
      </c>
      <c r="P319" s="18" t="s">
        <v>28</v>
      </c>
      <c r="Q319" s="18" t="s">
        <v>29</v>
      </c>
      <c r="R319" s="18">
        <v>99999</v>
      </c>
      <c r="S319" s="18" t="s">
        <v>30</v>
      </c>
      <c r="T319" s="18" t="s">
        <v>48</v>
      </c>
      <c r="U319" s="18" t="s">
        <v>54</v>
      </c>
      <c r="V319" s="18" t="s">
        <v>37</v>
      </c>
      <c r="W319" s="19">
        <v>18</v>
      </c>
      <c r="X319" s="18">
        <v>57</v>
      </c>
      <c r="Y319" s="19">
        <v>1026</v>
      </c>
      <c r="Z319" s="20">
        <v>102.60000000000001</v>
      </c>
    </row>
    <row r="320" spans="1:26" x14ac:dyDescent="0.25">
      <c r="A320" s="16">
        <v>1374</v>
      </c>
      <c r="B320" s="17">
        <v>41985</v>
      </c>
      <c r="C320" s="18">
        <v>12</v>
      </c>
      <c r="D320" s="18" t="s">
        <v>51</v>
      </c>
      <c r="E320" s="18" t="s">
        <v>52</v>
      </c>
      <c r="F320" s="18" t="s">
        <v>28</v>
      </c>
      <c r="G320" s="18" t="s">
        <v>29</v>
      </c>
      <c r="H320" s="18">
        <v>99999</v>
      </c>
      <c r="I320" s="18" t="s">
        <v>30</v>
      </c>
      <c r="J320" s="18" t="s">
        <v>31</v>
      </c>
      <c r="K320" s="18" t="s">
        <v>32</v>
      </c>
      <c r="L320" s="17">
        <v>41987</v>
      </c>
      <c r="M320" s="18" t="s">
        <v>33</v>
      </c>
      <c r="N320" s="18" t="s">
        <v>53</v>
      </c>
      <c r="O320" s="18" t="s">
        <v>52</v>
      </c>
      <c r="P320" s="18" t="s">
        <v>28</v>
      </c>
      <c r="Q320" s="18" t="s">
        <v>29</v>
      </c>
      <c r="R320" s="18">
        <v>99999</v>
      </c>
      <c r="S320" s="18" t="s">
        <v>30</v>
      </c>
      <c r="T320" s="18" t="s">
        <v>48</v>
      </c>
      <c r="U320" s="18" t="s">
        <v>55</v>
      </c>
      <c r="V320" s="18" t="s">
        <v>37</v>
      </c>
      <c r="W320" s="19">
        <v>46</v>
      </c>
      <c r="X320" s="18">
        <v>83</v>
      </c>
      <c r="Y320" s="19">
        <v>3818</v>
      </c>
      <c r="Z320" s="20">
        <v>374.16399999999999</v>
      </c>
    </row>
    <row r="321" spans="1:26" x14ac:dyDescent="0.25">
      <c r="A321" s="16">
        <v>1375</v>
      </c>
      <c r="B321" s="17">
        <v>41981</v>
      </c>
      <c r="C321" s="18">
        <v>8</v>
      </c>
      <c r="D321" s="18" t="s">
        <v>56</v>
      </c>
      <c r="E321" s="18" t="s">
        <v>57</v>
      </c>
      <c r="F321" s="18" t="s">
        <v>58</v>
      </c>
      <c r="G321" s="18" t="s">
        <v>59</v>
      </c>
      <c r="H321" s="18">
        <v>99999</v>
      </c>
      <c r="I321" s="18" t="s">
        <v>30</v>
      </c>
      <c r="J321" s="18" t="s">
        <v>60</v>
      </c>
      <c r="K321" s="18" t="s">
        <v>61</v>
      </c>
      <c r="L321" s="17">
        <v>41983</v>
      </c>
      <c r="M321" s="18" t="s">
        <v>62</v>
      </c>
      <c r="N321" s="18" t="s">
        <v>63</v>
      </c>
      <c r="O321" s="18" t="s">
        <v>57</v>
      </c>
      <c r="P321" s="18" t="s">
        <v>58</v>
      </c>
      <c r="Q321" s="18" t="s">
        <v>59</v>
      </c>
      <c r="R321" s="18">
        <v>99999</v>
      </c>
      <c r="S321" s="18" t="s">
        <v>30</v>
      </c>
      <c r="T321" s="18" t="s">
        <v>48</v>
      </c>
      <c r="U321" s="18" t="s">
        <v>64</v>
      </c>
      <c r="V321" s="18" t="s">
        <v>65</v>
      </c>
      <c r="W321" s="19">
        <v>9.1999999999999993</v>
      </c>
      <c r="X321" s="18">
        <v>76</v>
      </c>
      <c r="Y321" s="19">
        <v>699.19999999999993</v>
      </c>
      <c r="Z321" s="20">
        <v>67.123199999999997</v>
      </c>
    </row>
    <row r="322" spans="1:26" x14ac:dyDescent="0.25">
      <c r="A322" s="16">
        <v>1376</v>
      </c>
      <c r="B322" s="17">
        <v>41977</v>
      </c>
      <c r="C322" s="18">
        <v>4</v>
      </c>
      <c r="D322" s="18" t="s">
        <v>40</v>
      </c>
      <c r="E322" s="18" t="s">
        <v>41</v>
      </c>
      <c r="F322" s="18" t="s">
        <v>42</v>
      </c>
      <c r="G322" s="18" t="s">
        <v>43</v>
      </c>
      <c r="H322" s="18">
        <v>99999</v>
      </c>
      <c r="I322" s="18" t="s">
        <v>30</v>
      </c>
      <c r="J322" s="18" t="s">
        <v>44</v>
      </c>
      <c r="K322" s="18" t="s">
        <v>45</v>
      </c>
      <c r="L322" s="18">
        <v>41979</v>
      </c>
      <c r="M322" s="18" t="s">
        <v>62</v>
      </c>
      <c r="N322" s="18" t="s">
        <v>47</v>
      </c>
      <c r="O322" s="18" t="s">
        <v>41</v>
      </c>
      <c r="P322" s="18" t="s">
        <v>42</v>
      </c>
      <c r="Q322" s="18" t="s">
        <v>43</v>
      </c>
      <c r="R322" s="18">
        <v>99999</v>
      </c>
      <c r="S322" s="18" t="s">
        <v>30</v>
      </c>
      <c r="T322" s="18" t="s">
        <v>35</v>
      </c>
      <c r="U322" s="18" t="s">
        <v>64</v>
      </c>
      <c r="V322" s="18" t="s">
        <v>65</v>
      </c>
      <c r="W322" s="19">
        <v>9.1999999999999993</v>
      </c>
      <c r="X322" s="18">
        <v>80</v>
      </c>
      <c r="Y322" s="19">
        <v>736</v>
      </c>
      <c r="Z322" s="20">
        <v>72.864000000000004</v>
      </c>
    </row>
    <row r="323" spans="1:26" x14ac:dyDescent="0.25">
      <c r="A323" s="16">
        <v>1377</v>
      </c>
      <c r="B323" s="17">
        <v>42002</v>
      </c>
      <c r="C323" s="18">
        <v>29</v>
      </c>
      <c r="D323" s="18" t="s">
        <v>66</v>
      </c>
      <c r="E323" s="18" t="s">
        <v>67</v>
      </c>
      <c r="F323" s="18" t="s">
        <v>68</v>
      </c>
      <c r="G323" s="18" t="s">
        <v>69</v>
      </c>
      <c r="H323" s="18">
        <v>99999</v>
      </c>
      <c r="I323" s="18" t="s">
        <v>30</v>
      </c>
      <c r="J323" s="18" t="s">
        <v>70</v>
      </c>
      <c r="K323" s="18" t="s">
        <v>32</v>
      </c>
      <c r="L323" s="18">
        <v>42004</v>
      </c>
      <c r="M323" s="18" t="s">
        <v>33</v>
      </c>
      <c r="N323" s="18" t="s">
        <v>71</v>
      </c>
      <c r="O323" s="18" t="s">
        <v>67</v>
      </c>
      <c r="P323" s="18" t="s">
        <v>68</v>
      </c>
      <c r="Q323" s="18" t="s">
        <v>69</v>
      </c>
      <c r="R323" s="18">
        <v>99999</v>
      </c>
      <c r="S323" s="18" t="s">
        <v>30</v>
      </c>
      <c r="T323" s="18" t="s">
        <v>35</v>
      </c>
      <c r="U323" s="18" t="s">
        <v>72</v>
      </c>
      <c r="V323" s="18" t="s">
        <v>73</v>
      </c>
      <c r="W323" s="19">
        <v>12.75</v>
      </c>
      <c r="X323" s="18">
        <v>47</v>
      </c>
      <c r="Y323" s="19">
        <v>599.25</v>
      </c>
      <c r="Z323" s="20">
        <v>59.325750000000006</v>
      </c>
    </row>
    <row r="324" spans="1:26" x14ac:dyDescent="0.25">
      <c r="A324" s="16">
        <v>1378</v>
      </c>
      <c r="B324" s="17">
        <v>41976</v>
      </c>
      <c r="C324" s="18">
        <v>3</v>
      </c>
      <c r="D324" s="18" t="s">
        <v>74</v>
      </c>
      <c r="E324" s="18" t="s">
        <v>75</v>
      </c>
      <c r="F324" s="18" t="s">
        <v>76</v>
      </c>
      <c r="G324" s="18" t="s">
        <v>77</v>
      </c>
      <c r="H324" s="18">
        <v>99999</v>
      </c>
      <c r="I324" s="18" t="s">
        <v>30</v>
      </c>
      <c r="J324" s="18" t="s">
        <v>31</v>
      </c>
      <c r="K324" s="18" t="s">
        <v>32</v>
      </c>
      <c r="L324" s="18">
        <v>41978</v>
      </c>
      <c r="M324" s="18" t="s">
        <v>33</v>
      </c>
      <c r="N324" s="18" t="s">
        <v>78</v>
      </c>
      <c r="O324" s="18" t="s">
        <v>75</v>
      </c>
      <c r="P324" s="18" t="s">
        <v>76</v>
      </c>
      <c r="Q324" s="18" t="s">
        <v>77</v>
      </c>
      <c r="R324" s="18">
        <v>99999</v>
      </c>
      <c r="S324" s="18" t="s">
        <v>30</v>
      </c>
      <c r="T324" s="18" t="s">
        <v>79</v>
      </c>
      <c r="U324" s="18" t="s">
        <v>80</v>
      </c>
      <c r="V324" s="18" t="s">
        <v>81</v>
      </c>
      <c r="W324" s="19">
        <v>9.65</v>
      </c>
      <c r="X324" s="18">
        <v>96</v>
      </c>
      <c r="Y324" s="19">
        <v>926.40000000000009</v>
      </c>
      <c r="Z324" s="20">
        <v>94.492800000000017</v>
      </c>
    </row>
    <row r="325" spans="1:26" x14ac:dyDescent="0.25">
      <c r="A325" s="16">
        <v>1379</v>
      </c>
      <c r="B325" s="17">
        <v>41979</v>
      </c>
      <c r="C325" s="18">
        <v>6</v>
      </c>
      <c r="D325" s="18" t="s">
        <v>82</v>
      </c>
      <c r="E325" s="18" t="s">
        <v>83</v>
      </c>
      <c r="F325" s="18" t="s">
        <v>84</v>
      </c>
      <c r="G325" s="18" t="s">
        <v>85</v>
      </c>
      <c r="H325" s="18">
        <v>99999</v>
      </c>
      <c r="I325" s="18" t="s">
        <v>30</v>
      </c>
      <c r="J325" s="18" t="s">
        <v>86</v>
      </c>
      <c r="K325" s="18" t="s">
        <v>61</v>
      </c>
      <c r="L325" s="18">
        <v>41981</v>
      </c>
      <c r="M325" s="18" t="s">
        <v>33</v>
      </c>
      <c r="N325" s="18" t="s">
        <v>87</v>
      </c>
      <c r="O325" s="18" t="s">
        <v>83</v>
      </c>
      <c r="P325" s="18" t="s">
        <v>84</v>
      </c>
      <c r="Q325" s="18" t="s">
        <v>85</v>
      </c>
      <c r="R325" s="18">
        <v>99999</v>
      </c>
      <c r="S325" s="18" t="s">
        <v>30</v>
      </c>
      <c r="T325" s="18" t="s">
        <v>48</v>
      </c>
      <c r="U325" s="18" t="s">
        <v>88</v>
      </c>
      <c r="V325" s="18" t="s">
        <v>89</v>
      </c>
      <c r="W325" s="19">
        <v>40</v>
      </c>
      <c r="X325" s="18">
        <v>32</v>
      </c>
      <c r="Y325" s="19">
        <v>1280</v>
      </c>
      <c r="Z325" s="20">
        <v>134.4</v>
      </c>
    </row>
    <row r="326" spans="1:26" x14ac:dyDescent="0.25">
      <c r="A326" s="16">
        <v>1380</v>
      </c>
      <c r="B326" s="17">
        <v>42001</v>
      </c>
      <c r="C326" s="18">
        <v>28</v>
      </c>
      <c r="D326" s="18" t="s">
        <v>90</v>
      </c>
      <c r="E326" s="18" t="s">
        <v>91</v>
      </c>
      <c r="F326" s="18" t="s">
        <v>92</v>
      </c>
      <c r="G326" s="18" t="s">
        <v>93</v>
      </c>
      <c r="H326" s="18">
        <v>99999</v>
      </c>
      <c r="I326" s="18" t="s">
        <v>30</v>
      </c>
      <c r="J326" s="18" t="s">
        <v>94</v>
      </c>
      <c r="K326" s="18" t="s">
        <v>95</v>
      </c>
      <c r="L326" s="17">
        <v>42003</v>
      </c>
      <c r="M326" s="18" t="s">
        <v>62</v>
      </c>
      <c r="N326" s="18" t="s">
        <v>96</v>
      </c>
      <c r="O326" s="18" t="s">
        <v>91</v>
      </c>
      <c r="P326" s="18" t="s">
        <v>92</v>
      </c>
      <c r="Q326" s="18" t="s">
        <v>93</v>
      </c>
      <c r="R326" s="18">
        <v>99999</v>
      </c>
      <c r="S326" s="18" t="s">
        <v>30</v>
      </c>
      <c r="T326" s="18" t="s">
        <v>35</v>
      </c>
      <c r="U326" s="18" t="s">
        <v>55</v>
      </c>
      <c r="V326" s="18" t="s">
        <v>37</v>
      </c>
      <c r="W326" s="19">
        <v>46</v>
      </c>
      <c r="X326" s="18">
        <v>16</v>
      </c>
      <c r="Y326" s="19">
        <v>736</v>
      </c>
      <c r="Z326" s="20">
        <v>73.600000000000009</v>
      </c>
    </row>
    <row r="327" spans="1:26" x14ac:dyDescent="0.25">
      <c r="A327" s="16">
        <v>1381</v>
      </c>
      <c r="B327" s="17">
        <v>41981</v>
      </c>
      <c r="C327" s="18">
        <v>8</v>
      </c>
      <c r="D327" s="18" t="s">
        <v>56</v>
      </c>
      <c r="E327" s="18" t="s">
        <v>57</v>
      </c>
      <c r="F327" s="18" t="s">
        <v>58</v>
      </c>
      <c r="G327" s="18" t="s">
        <v>59</v>
      </c>
      <c r="H327" s="18">
        <v>99999</v>
      </c>
      <c r="I327" s="18" t="s">
        <v>30</v>
      </c>
      <c r="J327" s="18" t="s">
        <v>60</v>
      </c>
      <c r="K327" s="18" t="s">
        <v>61</v>
      </c>
      <c r="L327" s="17">
        <v>41983</v>
      </c>
      <c r="M327" s="18" t="s">
        <v>62</v>
      </c>
      <c r="N327" s="18" t="s">
        <v>63</v>
      </c>
      <c r="O327" s="18" t="s">
        <v>57</v>
      </c>
      <c r="P327" s="18" t="s">
        <v>58</v>
      </c>
      <c r="Q327" s="18" t="s">
        <v>59</v>
      </c>
      <c r="R327" s="18">
        <v>99999</v>
      </c>
      <c r="S327" s="18" t="s">
        <v>30</v>
      </c>
      <c r="T327" s="18" t="s">
        <v>35</v>
      </c>
      <c r="U327" s="18" t="s">
        <v>72</v>
      </c>
      <c r="V327" s="18" t="s">
        <v>73</v>
      </c>
      <c r="W327" s="19">
        <v>12.75</v>
      </c>
      <c r="X327" s="18">
        <v>41</v>
      </c>
      <c r="Y327" s="19">
        <v>522.75</v>
      </c>
      <c r="Z327" s="20">
        <v>51.229500000000002</v>
      </c>
    </row>
    <row r="328" spans="1:26" x14ac:dyDescent="0.25">
      <c r="A328" s="16">
        <v>1382</v>
      </c>
      <c r="B328" s="17">
        <v>41983</v>
      </c>
      <c r="C328" s="18">
        <v>10</v>
      </c>
      <c r="D328" s="18" t="s">
        <v>97</v>
      </c>
      <c r="E328" s="18" t="s">
        <v>98</v>
      </c>
      <c r="F328" s="18" t="s">
        <v>99</v>
      </c>
      <c r="G328" s="18" t="s">
        <v>100</v>
      </c>
      <c r="H328" s="18">
        <v>99999</v>
      </c>
      <c r="I328" s="18" t="s">
        <v>30</v>
      </c>
      <c r="J328" s="18" t="s">
        <v>101</v>
      </c>
      <c r="K328" s="18" t="s">
        <v>45</v>
      </c>
      <c r="L328" s="17">
        <v>41985</v>
      </c>
      <c r="M328" s="18" t="s">
        <v>33</v>
      </c>
      <c r="N328" s="18" t="s">
        <v>102</v>
      </c>
      <c r="O328" s="18" t="s">
        <v>98</v>
      </c>
      <c r="P328" s="18" t="s">
        <v>99</v>
      </c>
      <c r="Q328" s="18" t="s">
        <v>100</v>
      </c>
      <c r="R328" s="18">
        <v>99999</v>
      </c>
      <c r="S328" s="18" t="s">
        <v>30</v>
      </c>
      <c r="T328" s="18" t="s">
        <v>48</v>
      </c>
      <c r="U328" s="18" t="s">
        <v>103</v>
      </c>
      <c r="V328" s="18" t="s">
        <v>37</v>
      </c>
      <c r="W328" s="19">
        <v>2.99</v>
      </c>
      <c r="X328" s="18">
        <v>41</v>
      </c>
      <c r="Y328" s="19">
        <v>122.59</v>
      </c>
      <c r="Z328" s="20">
        <v>12.871950000000002</v>
      </c>
    </row>
    <row r="329" spans="1:26" x14ac:dyDescent="0.25">
      <c r="A329" s="16">
        <v>1383</v>
      </c>
      <c r="B329" s="17">
        <v>41980</v>
      </c>
      <c r="C329" s="18">
        <v>7</v>
      </c>
      <c r="D329" s="18" t="s">
        <v>104</v>
      </c>
      <c r="E329" s="18" t="s">
        <v>105</v>
      </c>
      <c r="F329" s="18" t="s">
        <v>106</v>
      </c>
      <c r="G329" s="18" t="s">
        <v>107</v>
      </c>
      <c r="H329" s="18">
        <v>99999</v>
      </c>
      <c r="I329" s="18" t="s">
        <v>30</v>
      </c>
      <c r="J329" s="18" t="s">
        <v>60</v>
      </c>
      <c r="K329" s="18" t="s">
        <v>61</v>
      </c>
      <c r="L329" s="17"/>
      <c r="M329" s="18"/>
      <c r="N329" s="18" t="s">
        <v>108</v>
      </c>
      <c r="O329" s="18" t="s">
        <v>105</v>
      </c>
      <c r="P329" s="18" t="s">
        <v>106</v>
      </c>
      <c r="Q329" s="18" t="s">
        <v>107</v>
      </c>
      <c r="R329" s="18">
        <v>99999</v>
      </c>
      <c r="S329" s="18" t="s">
        <v>30</v>
      </c>
      <c r="T329" s="18"/>
      <c r="U329" s="18" t="s">
        <v>55</v>
      </c>
      <c r="V329" s="18" t="s">
        <v>37</v>
      </c>
      <c r="W329" s="19">
        <v>46</v>
      </c>
      <c r="X329" s="18">
        <v>41</v>
      </c>
      <c r="Y329" s="19">
        <v>1886</v>
      </c>
      <c r="Z329" s="20">
        <v>194.25800000000004</v>
      </c>
    </row>
    <row r="330" spans="1:26" x14ac:dyDescent="0.25">
      <c r="A330" s="16">
        <v>1384</v>
      </c>
      <c r="B330" s="17">
        <v>41983</v>
      </c>
      <c r="C330" s="18">
        <v>10</v>
      </c>
      <c r="D330" s="18" t="s">
        <v>97</v>
      </c>
      <c r="E330" s="18" t="s">
        <v>98</v>
      </c>
      <c r="F330" s="18" t="s">
        <v>99</v>
      </c>
      <c r="G330" s="18" t="s">
        <v>100</v>
      </c>
      <c r="H330" s="18">
        <v>99999</v>
      </c>
      <c r="I330" s="18" t="s">
        <v>30</v>
      </c>
      <c r="J330" s="18" t="s">
        <v>101</v>
      </c>
      <c r="K330" s="18" t="s">
        <v>45</v>
      </c>
      <c r="L330" s="17">
        <v>41985</v>
      </c>
      <c r="M330" s="18" t="s">
        <v>46</v>
      </c>
      <c r="N330" s="18" t="s">
        <v>102</v>
      </c>
      <c r="O330" s="18" t="s">
        <v>98</v>
      </c>
      <c r="P330" s="18" t="s">
        <v>99</v>
      </c>
      <c r="Q330" s="18" t="s">
        <v>100</v>
      </c>
      <c r="R330" s="18">
        <v>99999</v>
      </c>
      <c r="S330" s="18" t="s">
        <v>30</v>
      </c>
      <c r="T330" s="18"/>
      <c r="U330" s="18" t="s">
        <v>109</v>
      </c>
      <c r="V330" s="18" t="s">
        <v>110</v>
      </c>
      <c r="W330" s="19">
        <v>25</v>
      </c>
      <c r="X330" s="18">
        <v>94</v>
      </c>
      <c r="Y330" s="19">
        <v>2350</v>
      </c>
      <c r="Z330" s="20">
        <v>235</v>
      </c>
    </row>
    <row r="331" spans="1:26" x14ac:dyDescent="0.25">
      <c r="A331" s="16">
        <v>1385</v>
      </c>
      <c r="B331" s="17">
        <v>41983</v>
      </c>
      <c r="C331" s="18">
        <v>10</v>
      </c>
      <c r="D331" s="18" t="s">
        <v>97</v>
      </c>
      <c r="E331" s="18" t="s">
        <v>98</v>
      </c>
      <c r="F331" s="18" t="s">
        <v>99</v>
      </c>
      <c r="G331" s="18" t="s">
        <v>100</v>
      </c>
      <c r="H331" s="18">
        <v>99999</v>
      </c>
      <c r="I331" s="18" t="s">
        <v>30</v>
      </c>
      <c r="J331" s="18" t="s">
        <v>101</v>
      </c>
      <c r="K331" s="18" t="s">
        <v>45</v>
      </c>
      <c r="L331" s="17">
        <v>41985</v>
      </c>
      <c r="M331" s="18" t="s">
        <v>46</v>
      </c>
      <c r="N331" s="18" t="s">
        <v>102</v>
      </c>
      <c r="O331" s="18" t="s">
        <v>98</v>
      </c>
      <c r="P331" s="18" t="s">
        <v>99</v>
      </c>
      <c r="Q331" s="18" t="s">
        <v>100</v>
      </c>
      <c r="R331" s="18">
        <v>99999</v>
      </c>
      <c r="S331" s="18" t="s">
        <v>30</v>
      </c>
      <c r="T331" s="18"/>
      <c r="U331" s="18" t="s">
        <v>111</v>
      </c>
      <c r="V331" s="18" t="s">
        <v>112</v>
      </c>
      <c r="W331" s="19">
        <v>22</v>
      </c>
      <c r="X331" s="18">
        <v>20</v>
      </c>
      <c r="Y331" s="19">
        <v>440</v>
      </c>
      <c r="Z331" s="20">
        <v>46.2</v>
      </c>
    </row>
    <row r="332" spans="1:26" x14ac:dyDescent="0.25">
      <c r="A332" s="16">
        <v>1386</v>
      </c>
      <c r="B332" s="17">
        <v>41983</v>
      </c>
      <c r="C332" s="18">
        <v>10</v>
      </c>
      <c r="D332" s="18" t="s">
        <v>97</v>
      </c>
      <c r="E332" s="18" t="s">
        <v>98</v>
      </c>
      <c r="F332" s="18" t="s">
        <v>99</v>
      </c>
      <c r="G332" s="18" t="s">
        <v>100</v>
      </c>
      <c r="H332" s="18">
        <v>99999</v>
      </c>
      <c r="I332" s="18" t="s">
        <v>30</v>
      </c>
      <c r="J332" s="18" t="s">
        <v>101</v>
      </c>
      <c r="K332" s="18" t="s">
        <v>45</v>
      </c>
      <c r="L332" s="18">
        <v>41985</v>
      </c>
      <c r="M332" s="18" t="s">
        <v>46</v>
      </c>
      <c r="N332" s="18" t="s">
        <v>102</v>
      </c>
      <c r="O332" s="18" t="s">
        <v>98</v>
      </c>
      <c r="P332" s="18" t="s">
        <v>99</v>
      </c>
      <c r="Q332" s="18" t="s">
        <v>100</v>
      </c>
      <c r="R332" s="18">
        <v>99999</v>
      </c>
      <c r="S332" s="18" t="s">
        <v>30</v>
      </c>
      <c r="T332" s="18"/>
      <c r="U332" s="18" t="s">
        <v>64</v>
      </c>
      <c r="V332" s="18" t="s">
        <v>65</v>
      </c>
      <c r="W332" s="19">
        <v>9.1999999999999993</v>
      </c>
      <c r="X332" s="18">
        <v>13</v>
      </c>
      <c r="Y332" s="19">
        <v>119.6</v>
      </c>
      <c r="Z332" s="20">
        <v>12.438400000000001</v>
      </c>
    </row>
    <row r="333" spans="1:26" x14ac:dyDescent="0.25">
      <c r="A333" s="16">
        <v>1387</v>
      </c>
      <c r="B333" s="17">
        <v>41984</v>
      </c>
      <c r="C333" s="18">
        <v>11</v>
      </c>
      <c r="D333" s="18" t="s">
        <v>113</v>
      </c>
      <c r="E333" s="18" t="s">
        <v>114</v>
      </c>
      <c r="F333" s="18" t="s">
        <v>115</v>
      </c>
      <c r="G333" s="18" t="s">
        <v>116</v>
      </c>
      <c r="H333" s="18">
        <v>99999</v>
      </c>
      <c r="I333" s="18" t="s">
        <v>30</v>
      </c>
      <c r="J333" s="18" t="s">
        <v>94</v>
      </c>
      <c r="K333" s="18" t="s">
        <v>95</v>
      </c>
      <c r="L333" s="18"/>
      <c r="M333" s="18" t="s">
        <v>62</v>
      </c>
      <c r="N333" s="18" t="s">
        <v>117</v>
      </c>
      <c r="O333" s="18" t="s">
        <v>114</v>
      </c>
      <c r="P333" s="18" t="s">
        <v>115</v>
      </c>
      <c r="Q333" s="18" t="s">
        <v>116</v>
      </c>
      <c r="R333" s="18">
        <v>99999</v>
      </c>
      <c r="S333" s="18" t="s">
        <v>30</v>
      </c>
      <c r="T333" s="18"/>
      <c r="U333" s="18" t="s">
        <v>38</v>
      </c>
      <c r="V333" s="18" t="s">
        <v>39</v>
      </c>
      <c r="W333" s="19">
        <v>3.5</v>
      </c>
      <c r="X333" s="18">
        <v>74</v>
      </c>
      <c r="Y333" s="19">
        <v>259</v>
      </c>
      <c r="Z333" s="20">
        <v>26.936000000000003</v>
      </c>
    </row>
    <row r="334" spans="1:26" x14ac:dyDescent="0.25">
      <c r="A334" s="16">
        <v>1388</v>
      </c>
      <c r="B334" s="17">
        <v>41984</v>
      </c>
      <c r="C334" s="18">
        <v>11</v>
      </c>
      <c r="D334" s="18" t="s">
        <v>113</v>
      </c>
      <c r="E334" s="18" t="s">
        <v>114</v>
      </c>
      <c r="F334" s="18" t="s">
        <v>115</v>
      </c>
      <c r="G334" s="18" t="s">
        <v>116</v>
      </c>
      <c r="H334" s="18">
        <v>99999</v>
      </c>
      <c r="I334" s="18" t="s">
        <v>30</v>
      </c>
      <c r="J334" s="18" t="s">
        <v>94</v>
      </c>
      <c r="K334" s="18" t="s">
        <v>95</v>
      </c>
      <c r="L334" s="18"/>
      <c r="M334" s="18" t="s">
        <v>62</v>
      </c>
      <c r="N334" s="18" t="s">
        <v>117</v>
      </c>
      <c r="O334" s="18" t="s">
        <v>114</v>
      </c>
      <c r="P334" s="18" t="s">
        <v>115</v>
      </c>
      <c r="Q334" s="18" t="s">
        <v>116</v>
      </c>
      <c r="R334" s="18">
        <v>99999</v>
      </c>
      <c r="S334" s="18" t="s">
        <v>30</v>
      </c>
      <c r="T334" s="18"/>
      <c r="U334" s="18" t="s">
        <v>103</v>
      </c>
      <c r="V334" s="18" t="s">
        <v>37</v>
      </c>
      <c r="W334" s="19">
        <v>2.99</v>
      </c>
      <c r="X334" s="18">
        <v>53</v>
      </c>
      <c r="Y334" s="19">
        <v>158.47</v>
      </c>
      <c r="Z334" s="20">
        <v>16.005470000000003</v>
      </c>
    </row>
    <row r="335" spans="1:26" x14ac:dyDescent="0.25">
      <c r="A335" s="16">
        <v>1389</v>
      </c>
      <c r="B335" s="17">
        <v>41974</v>
      </c>
      <c r="C335" s="18">
        <v>1</v>
      </c>
      <c r="D335" s="18" t="s">
        <v>118</v>
      </c>
      <c r="E335" s="18" t="s">
        <v>119</v>
      </c>
      <c r="F335" s="18" t="s">
        <v>120</v>
      </c>
      <c r="G335" s="18" t="s">
        <v>121</v>
      </c>
      <c r="H335" s="18">
        <v>99999</v>
      </c>
      <c r="I335" s="18" t="s">
        <v>30</v>
      </c>
      <c r="J335" s="18" t="s">
        <v>60</v>
      </c>
      <c r="K335" s="18" t="s">
        <v>61</v>
      </c>
      <c r="L335" s="18"/>
      <c r="M335" s="18"/>
      <c r="N335" s="18" t="s">
        <v>122</v>
      </c>
      <c r="O335" s="18" t="s">
        <v>119</v>
      </c>
      <c r="P335" s="18" t="s">
        <v>120</v>
      </c>
      <c r="Q335" s="18" t="s">
        <v>121</v>
      </c>
      <c r="R335" s="18">
        <v>99999</v>
      </c>
      <c r="S335" s="18" t="s">
        <v>30</v>
      </c>
      <c r="T335" s="18"/>
      <c r="U335" s="18" t="s">
        <v>54</v>
      </c>
      <c r="V335" s="18" t="s">
        <v>37</v>
      </c>
      <c r="W335" s="19">
        <v>18</v>
      </c>
      <c r="X335" s="18">
        <v>99</v>
      </c>
      <c r="Y335" s="19">
        <v>1782</v>
      </c>
      <c r="Z335" s="20">
        <v>174.63600000000002</v>
      </c>
    </row>
    <row r="336" spans="1:26" x14ac:dyDescent="0.25">
      <c r="A336" s="16">
        <v>1390</v>
      </c>
      <c r="B336" s="17">
        <v>41974</v>
      </c>
      <c r="C336" s="18">
        <v>1</v>
      </c>
      <c r="D336" s="18" t="s">
        <v>118</v>
      </c>
      <c r="E336" s="18" t="s">
        <v>119</v>
      </c>
      <c r="F336" s="18" t="s">
        <v>120</v>
      </c>
      <c r="G336" s="18" t="s">
        <v>121</v>
      </c>
      <c r="H336" s="18">
        <v>99999</v>
      </c>
      <c r="I336" s="18" t="s">
        <v>30</v>
      </c>
      <c r="J336" s="18" t="s">
        <v>60</v>
      </c>
      <c r="K336" s="18" t="s">
        <v>61</v>
      </c>
      <c r="L336" s="18"/>
      <c r="M336" s="18"/>
      <c r="N336" s="18" t="s">
        <v>122</v>
      </c>
      <c r="O336" s="18" t="s">
        <v>119</v>
      </c>
      <c r="P336" s="18" t="s">
        <v>120</v>
      </c>
      <c r="Q336" s="18" t="s">
        <v>121</v>
      </c>
      <c r="R336" s="18">
        <v>99999</v>
      </c>
      <c r="S336" s="18" t="s">
        <v>30</v>
      </c>
      <c r="T336" s="18"/>
      <c r="U336" s="18" t="s">
        <v>55</v>
      </c>
      <c r="V336" s="18" t="s">
        <v>37</v>
      </c>
      <c r="W336" s="19">
        <v>46</v>
      </c>
      <c r="X336" s="18">
        <v>89</v>
      </c>
      <c r="Y336" s="19">
        <v>4094</v>
      </c>
      <c r="Z336" s="20">
        <v>388.93</v>
      </c>
    </row>
    <row r="337" spans="1:26" x14ac:dyDescent="0.25">
      <c r="A337" s="16">
        <v>1391</v>
      </c>
      <c r="B337" s="17">
        <v>41974</v>
      </c>
      <c r="C337" s="18">
        <v>1</v>
      </c>
      <c r="D337" s="18" t="s">
        <v>118</v>
      </c>
      <c r="E337" s="18" t="s">
        <v>119</v>
      </c>
      <c r="F337" s="18" t="s">
        <v>120</v>
      </c>
      <c r="G337" s="18" t="s">
        <v>121</v>
      </c>
      <c r="H337" s="18">
        <v>99999</v>
      </c>
      <c r="I337" s="18" t="s">
        <v>30</v>
      </c>
      <c r="J337" s="18" t="s">
        <v>60</v>
      </c>
      <c r="K337" s="18" t="s">
        <v>61</v>
      </c>
      <c r="L337" s="17"/>
      <c r="M337" s="18"/>
      <c r="N337" s="18" t="s">
        <v>122</v>
      </c>
      <c r="O337" s="18" t="s">
        <v>119</v>
      </c>
      <c r="P337" s="18" t="s">
        <v>120</v>
      </c>
      <c r="Q337" s="18" t="s">
        <v>121</v>
      </c>
      <c r="R337" s="18">
        <v>99999</v>
      </c>
      <c r="S337" s="18" t="s">
        <v>30</v>
      </c>
      <c r="T337" s="18"/>
      <c r="U337" s="18" t="s">
        <v>103</v>
      </c>
      <c r="V337" s="18" t="s">
        <v>37</v>
      </c>
      <c r="W337" s="19">
        <v>2.99</v>
      </c>
      <c r="X337" s="18">
        <v>64</v>
      </c>
      <c r="Y337" s="19">
        <v>191.36</v>
      </c>
      <c r="Z337" s="20">
        <v>19.518720000000002</v>
      </c>
    </row>
    <row r="338" spans="1:26" x14ac:dyDescent="0.25">
      <c r="A338" s="16">
        <v>1392</v>
      </c>
      <c r="B338" s="17">
        <v>42001</v>
      </c>
      <c r="C338" s="18">
        <v>28</v>
      </c>
      <c r="D338" s="18" t="s">
        <v>90</v>
      </c>
      <c r="E338" s="18" t="s">
        <v>91</v>
      </c>
      <c r="F338" s="18" t="s">
        <v>92</v>
      </c>
      <c r="G338" s="18" t="s">
        <v>93</v>
      </c>
      <c r="H338" s="18">
        <v>99999</v>
      </c>
      <c r="I338" s="18" t="s">
        <v>30</v>
      </c>
      <c r="J338" s="18" t="s">
        <v>94</v>
      </c>
      <c r="K338" s="18" t="s">
        <v>95</v>
      </c>
      <c r="L338" s="17">
        <v>42003</v>
      </c>
      <c r="M338" s="18" t="s">
        <v>62</v>
      </c>
      <c r="N338" s="18" t="s">
        <v>96</v>
      </c>
      <c r="O338" s="18" t="s">
        <v>91</v>
      </c>
      <c r="P338" s="18" t="s">
        <v>92</v>
      </c>
      <c r="Q338" s="18" t="s">
        <v>93</v>
      </c>
      <c r="R338" s="18">
        <v>99999</v>
      </c>
      <c r="S338" s="18" t="s">
        <v>30</v>
      </c>
      <c r="T338" s="18" t="s">
        <v>48</v>
      </c>
      <c r="U338" s="18" t="s">
        <v>80</v>
      </c>
      <c r="V338" s="18" t="s">
        <v>81</v>
      </c>
      <c r="W338" s="19">
        <v>9.65</v>
      </c>
      <c r="X338" s="18">
        <v>98</v>
      </c>
      <c r="Y338" s="19">
        <v>945.7</v>
      </c>
      <c r="Z338" s="20">
        <v>96.461400000000012</v>
      </c>
    </row>
    <row r="339" spans="1:26" x14ac:dyDescent="0.25">
      <c r="A339" s="16">
        <v>1393</v>
      </c>
      <c r="B339" s="17">
        <v>42001</v>
      </c>
      <c r="C339" s="18">
        <v>28</v>
      </c>
      <c r="D339" s="18" t="s">
        <v>90</v>
      </c>
      <c r="E339" s="18" t="s">
        <v>91</v>
      </c>
      <c r="F339" s="18" t="s">
        <v>92</v>
      </c>
      <c r="G339" s="18" t="s">
        <v>93</v>
      </c>
      <c r="H339" s="18">
        <v>99999</v>
      </c>
      <c r="I339" s="18" t="s">
        <v>30</v>
      </c>
      <c r="J339" s="18" t="s">
        <v>94</v>
      </c>
      <c r="K339" s="18" t="s">
        <v>95</v>
      </c>
      <c r="L339" s="17">
        <v>42003</v>
      </c>
      <c r="M339" s="18" t="s">
        <v>62</v>
      </c>
      <c r="N339" s="18" t="s">
        <v>96</v>
      </c>
      <c r="O339" s="18" t="s">
        <v>91</v>
      </c>
      <c r="P339" s="18" t="s">
        <v>92</v>
      </c>
      <c r="Q339" s="18" t="s">
        <v>93</v>
      </c>
      <c r="R339" s="18">
        <v>99999</v>
      </c>
      <c r="S339" s="18" t="s">
        <v>30</v>
      </c>
      <c r="T339" s="18" t="s">
        <v>48</v>
      </c>
      <c r="U339" s="18" t="s">
        <v>123</v>
      </c>
      <c r="V339" s="18" t="s">
        <v>124</v>
      </c>
      <c r="W339" s="19">
        <v>18.399999999999999</v>
      </c>
      <c r="X339" s="18">
        <v>86</v>
      </c>
      <c r="Y339" s="19">
        <v>1582.3999999999999</v>
      </c>
      <c r="Z339" s="20">
        <v>155.0752</v>
      </c>
    </row>
    <row r="340" spans="1:26" x14ac:dyDescent="0.25">
      <c r="A340" s="16">
        <v>1394</v>
      </c>
      <c r="B340" s="17">
        <v>41982</v>
      </c>
      <c r="C340" s="18">
        <v>9</v>
      </c>
      <c r="D340" s="18" t="s">
        <v>125</v>
      </c>
      <c r="E340" s="18" t="s">
        <v>126</v>
      </c>
      <c r="F340" s="18" t="s">
        <v>127</v>
      </c>
      <c r="G340" s="18" t="s">
        <v>128</v>
      </c>
      <c r="H340" s="18">
        <v>99999</v>
      </c>
      <c r="I340" s="18" t="s">
        <v>30</v>
      </c>
      <c r="J340" s="18" t="s">
        <v>129</v>
      </c>
      <c r="K340" s="18" t="s">
        <v>32</v>
      </c>
      <c r="L340" s="17">
        <v>41984</v>
      </c>
      <c r="M340" s="18" t="s">
        <v>46</v>
      </c>
      <c r="N340" s="18" t="s">
        <v>130</v>
      </c>
      <c r="O340" s="18" t="s">
        <v>126</v>
      </c>
      <c r="P340" s="18" t="s">
        <v>127</v>
      </c>
      <c r="Q340" s="18" t="s">
        <v>128</v>
      </c>
      <c r="R340" s="18">
        <v>99999</v>
      </c>
      <c r="S340" s="18" t="s">
        <v>30</v>
      </c>
      <c r="T340" s="18" t="s">
        <v>35</v>
      </c>
      <c r="U340" s="18" t="s">
        <v>131</v>
      </c>
      <c r="V340" s="18" t="s">
        <v>132</v>
      </c>
      <c r="W340" s="19">
        <v>19.5</v>
      </c>
      <c r="X340" s="18">
        <v>20</v>
      </c>
      <c r="Y340" s="19">
        <v>390</v>
      </c>
      <c r="Z340" s="20">
        <v>40.950000000000003</v>
      </c>
    </row>
    <row r="341" spans="1:26" x14ac:dyDescent="0.25">
      <c r="A341" s="16">
        <v>1395</v>
      </c>
      <c r="B341" s="17">
        <v>41982</v>
      </c>
      <c r="C341" s="18">
        <v>9</v>
      </c>
      <c r="D341" s="18" t="s">
        <v>125</v>
      </c>
      <c r="E341" s="18" t="s">
        <v>126</v>
      </c>
      <c r="F341" s="18" t="s">
        <v>127</v>
      </c>
      <c r="G341" s="18" t="s">
        <v>128</v>
      </c>
      <c r="H341" s="18">
        <v>99999</v>
      </c>
      <c r="I341" s="18" t="s">
        <v>30</v>
      </c>
      <c r="J341" s="18" t="s">
        <v>129</v>
      </c>
      <c r="K341" s="18" t="s">
        <v>32</v>
      </c>
      <c r="L341" s="17">
        <v>41984</v>
      </c>
      <c r="M341" s="18" t="s">
        <v>46</v>
      </c>
      <c r="N341" s="18" t="s">
        <v>130</v>
      </c>
      <c r="O341" s="18" t="s">
        <v>126</v>
      </c>
      <c r="P341" s="18" t="s">
        <v>127</v>
      </c>
      <c r="Q341" s="18" t="s">
        <v>128</v>
      </c>
      <c r="R341" s="18">
        <v>99999</v>
      </c>
      <c r="S341" s="18" t="s">
        <v>30</v>
      </c>
      <c r="T341" s="18" t="s">
        <v>35</v>
      </c>
      <c r="U341" s="18" t="s">
        <v>133</v>
      </c>
      <c r="V341" s="18" t="s">
        <v>134</v>
      </c>
      <c r="W341" s="19">
        <v>34.799999999999997</v>
      </c>
      <c r="X341" s="18">
        <v>69</v>
      </c>
      <c r="Y341" s="19">
        <v>2401.1999999999998</v>
      </c>
      <c r="Z341" s="20">
        <v>240.12</v>
      </c>
    </row>
    <row r="342" spans="1:26" x14ac:dyDescent="0.25">
      <c r="A342" s="16">
        <v>1396</v>
      </c>
      <c r="B342" s="17">
        <v>41979</v>
      </c>
      <c r="C342" s="18">
        <v>6</v>
      </c>
      <c r="D342" s="18" t="s">
        <v>82</v>
      </c>
      <c r="E342" s="18" t="s">
        <v>83</v>
      </c>
      <c r="F342" s="18" t="s">
        <v>84</v>
      </c>
      <c r="G342" s="18" t="s">
        <v>85</v>
      </c>
      <c r="H342" s="18">
        <v>99999</v>
      </c>
      <c r="I342" s="18" t="s">
        <v>30</v>
      </c>
      <c r="J342" s="18" t="s">
        <v>86</v>
      </c>
      <c r="K342" s="18" t="s">
        <v>61</v>
      </c>
      <c r="L342" s="17">
        <v>41981</v>
      </c>
      <c r="M342" s="18" t="s">
        <v>33</v>
      </c>
      <c r="N342" s="18" t="s">
        <v>87</v>
      </c>
      <c r="O342" s="18" t="s">
        <v>83</v>
      </c>
      <c r="P342" s="18" t="s">
        <v>84</v>
      </c>
      <c r="Q342" s="18" t="s">
        <v>85</v>
      </c>
      <c r="R342" s="18">
        <v>99999</v>
      </c>
      <c r="S342" s="18" t="s">
        <v>30</v>
      </c>
      <c r="T342" s="18" t="s">
        <v>48</v>
      </c>
      <c r="U342" s="18" t="s">
        <v>36</v>
      </c>
      <c r="V342" s="18" t="s">
        <v>37</v>
      </c>
      <c r="W342" s="19">
        <v>14</v>
      </c>
      <c r="X342" s="18">
        <v>68</v>
      </c>
      <c r="Y342" s="19">
        <v>952</v>
      </c>
      <c r="Z342" s="20">
        <v>91.391999999999996</v>
      </c>
    </row>
    <row r="343" spans="1:26" x14ac:dyDescent="0.25">
      <c r="A343" s="16">
        <v>1397</v>
      </c>
      <c r="B343" s="17">
        <v>41981</v>
      </c>
      <c r="C343" s="18">
        <v>8</v>
      </c>
      <c r="D343" s="18" t="s">
        <v>56</v>
      </c>
      <c r="E343" s="18" t="s">
        <v>57</v>
      </c>
      <c r="F343" s="18" t="s">
        <v>58</v>
      </c>
      <c r="G343" s="18" t="s">
        <v>59</v>
      </c>
      <c r="H343" s="18">
        <v>99999</v>
      </c>
      <c r="I343" s="18" t="s">
        <v>30</v>
      </c>
      <c r="J343" s="18" t="s">
        <v>60</v>
      </c>
      <c r="K343" s="18" t="s">
        <v>61</v>
      </c>
      <c r="L343" s="17">
        <v>41983</v>
      </c>
      <c r="M343" s="18" t="s">
        <v>33</v>
      </c>
      <c r="N343" s="18" t="s">
        <v>63</v>
      </c>
      <c r="O343" s="18" t="s">
        <v>57</v>
      </c>
      <c r="P343" s="18" t="s">
        <v>58</v>
      </c>
      <c r="Q343" s="18" t="s">
        <v>59</v>
      </c>
      <c r="R343" s="18">
        <v>99999</v>
      </c>
      <c r="S343" s="18" t="s">
        <v>30</v>
      </c>
      <c r="T343" s="18" t="s">
        <v>35</v>
      </c>
      <c r="U343" s="18" t="s">
        <v>88</v>
      </c>
      <c r="V343" s="18" t="s">
        <v>89</v>
      </c>
      <c r="W343" s="19">
        <v>40</v>
      </c>
      <c r="X343" s="18">
        <v>52</v>
      </c>
      <c r="Y343" s="19">
        <v>2080</v>
      </c>
      <c r="Z343" s="20">
        <v>203.84</v>
      </c>
    </row>
    <row r="344" spans="1:26" x14ac:dyDescent="0.25">
      <c r="A344" s="16">
        <v>1398</v>
      </c>
      <c r="B344" s="17">
        <v>41981</v>
      </c>
      <c r="C344" s="18">
        <v>8</v>
      </c>
      <c r="D344" s="18" t="s">
        <v>56</v>
      </c>
      <c r="E344" s="18" t="s">
        <v>57</v>
      </c>
      <c r="F344" s="18" t="s">
        <v>58</v>
      </c>
      <c r="G344" s="18" t="s">
        <v>59</v>
      </c>
      <c r="H344" s="18">
        <v>99999</v>
      </c>
      <c r="I344" s="18" t="s">
        <v>30</v>
      </c>
      <c r="J344" s="18" t="s">
        <v>60</v>
      </c>
      <c r="K344" s="18" t="s">
        <v>61</v>
      </c>
      <c r="L344" s="17">
        <v>41983</v>
      </c>
      <c r="M344" s="18" t="s">
        <v>33</v>
      </c>
      <c r="N344" s="18" t="s">
        <v>63</v>
      </c>
      <c r="O344" s="18" t="s">
        <v>57</v>
      </c>
      <c r="P344" s="18" t="s">
        <v>58</v>
      </c>
      <c r="Q344" s="18" t="s">
        <v>59</v>
      </c>
      <c r="R344" s="18">
        <v>99999</v>
      </c>
      <c r="S344" s="18" t="s">
        <v>30</v>
      </c>
      <c r="T344" s="18" t="s">
        <v>35</v>
      </c>
      <c r="U344" s="18" t="s">
        <v>64</v>
      </c>
      <c r="V344" s="18" t="s">
        <v>65</v>
      </c>
      <c r="W344" s="19">
        <v>9.1999999999999993</v>
      </c>
      <c r="X344" s="18">
        <v>40</v>
      </c>
      <c r="Y344" s="19">
        <v>368</v>
      </c>
      <c r="Z344" s="20">
        <v>38.640000000000008</v>
      </c>
    </row>
    <row r="345" spans="1:26" x14ac:dyDescent="0.25">
      <c r="A345" s="16">
        <v>1399</v>
      </c>
      <c r="B345" s="17">
        <v>41998</v>
      </c>
      <c r="C345" s="18">
        <v>25</v>
      </c>
      <c r="D345" s="18" t="s">
        <v>137</v>
      </c>
      <c r="E345" s="18" t="s">
        <v>138</v>
      </c>
      <c r="F345" s="18" t="s">
        <v>99</v>
      </c>
      <c r="G345" s="18" t="s">
        <v>100</v>
      </c>
      <c r="H345" s="18">
        <v>99999</v>
      </c>
      <c r="I345" s="18" t="s">
        <v>30</v>
      </c>
      <c r="J345" s="18" t="s">
        <v>101</v>
      </c>
      <c r="K345" s="18" t="s">
        <v>45</v>
      </c>
      <c r="L345" s="17">
        <v>42000</v>
      </c>
      <c r="M345" s="18" t="s">
        <v>46</v>
      </c>
      <c r="N345" s="18" t="s">
        <v>139</v>
      </c>
      <c r="O345" s="18" t="s">
        <v>138</v>
      </c>
      <c r="P345" s="18" t="s">
        <v>99</v>
      </c>
      <c r="Q345" s="18" t="s">
        <v>100</v>
      </c>
      <c r="R345" s="18">
        <v>99999</v>
      </c>
      <c r="S345" s="18" t="s">
        <v>30</v>
      </c>
      <c r="T345" s="18" t="s">
        <v>79</v>
      </c>
      <c r="U345" s="18" t="s">
        <v>146</v>
      </c>
      <c r="V345" s="18" t="s">
        <v>65</v>
      </c>
      <c r="W345" s="19">
        <v>10</v>
      </c>
      <c r="X345" s="18">
        <v>100</v>
      </c>
      <c r="Y345" s="19">
        <v>1000</v>
      </c>
      <c r="Z345" s="20">
        <v>98</v>
      </c>
    </row>
    <row r="346" spans="1:26" x14ac:dyDescent="0.25">
      <c r="A346" s="16">
        <v>1400</v>
      </c>
      <c r="B346" s="17">
        <v>41999</v>
      </c>
      <c r="C346" s="18">
        <v>26</v>
      </c>
      <c r="D346" s="18" t="s">
        <v>140</v>
      </c>
      <c r="E346" s="18" t="s">
        <v>141</v>
      </c>
      <c r="F346" s="18" t="s">
        <v>115</v>
      </c>
      <c r="G346" s="18" t="s">
        <v>116</v>
      </c>
      <c r="H346" s="18">
        <v>99999</v>
      </c>
      <c r="I346" s="18" t="s">
        <v>30</v>
      </c>
      <c r="J346" s="18" t="s">
        <v>94</v>
      </c>
      <c r="K346" s="18" t="s">
        <v>95</v>
      </c>
      <c r="L346" s="17">
        <v>42001</v>
      </c>
      <c r="M346" s="18" t="s">
        <v>62</v>
      </c>
      <c r="N346" s="18" t="s">
        <v>142</v>
      </c>
      <c r="O346" s="18" t="s">
        <v>141</v>
      </c>
      <c r="P346" s="18" t="s">
        <v>115</v>
      </c>
      <c r="Q346" s="18" t="s">
        <v>116</v>
      </c>
      <c r="R346" s="18">
        <v>99999</v>
      </c>
      <c r="S346" s="18" t="s">
        <v>30</v>
      </c>
      <c r="T346" s="18" t="s">
        <v>48</v>
      </c>
      <c r="U346" s="18" t="s">
        <v>147</v>
      </c>
      <c r="V346" s="18" t="s">
        <v>148</v>
      </c>
      <c r="W346" s="19">
        <v>21.35</v>
      </c>
      <c r="X346" s="18">
        <v>88</v>
      </c>
      <c r="Y346" s="19">
        <v>1878.8000000000002</v>
      </c>
      <c r="Z346" s="20">
        <v>184.12240000000003</v>
      </c>
    </row>
    <row r="347" spans="1:26" x14ac:dyDescent="0.25">
      <c r="A347" s="16">
        <v>1401</v>
      </c>
      <c r="B347" s="17">
        <v>41999</v>
      </c>
      <c r="C347" s="18">
        <v>26</v>
      </c>
      <c r="D347" s="18" t="s">
        <v>140</v>
      </c>
      <c r="E347" s="18" t="s">
        <v>141</v>
      </c>
      <c r="F347" s="18" t="s">
        <v>115</v>
      </c>
      <c r="G347" s="18" t="s">
        <v>116</v>
      </c>
      <c r="H347" s="18">
        <v>99999</v>
      </c>
      <c r="I347" s="18" t="s">
        <v>30</v>
      </c>
      <c r="J347" s="18" t="s">
        <v>94</v>
      </c>
      <c r="K347" s="18" t="s">
        <v>95</v>
      </c>
      <c r="L347" s="17">
        <v>42001</v>
      </c>
      <c r="M347" s="18" t="s">
        <v>62</v>
      </c>
      <c r="N347" s="18" t="s">
        <v>142</v>
      </c>
      <c r="O347" s="18" t="s">
        <v>141</v>
      </c>
      <c r="P347" s="18" t="s">
        <v>115</v>
      </c>
      <c r="Q347" s="18" t="s">
        <v>116</v>
      </c>
      <c r="R347" s="18">
        <v>99999</v>
      </c>
      <c r="S347" s="18" t="s">
        <v>30</v>
      </c>
      <c r="T347" s="18" t="s">
        <v>48</v>
      </c>
      <c r="U347" s="18" t="s">
        <v>80</v>
      </c>
      <c r="V347" s="18" t="s">
        <v>81</v>
      </c>
      <c r="W347" s="19">
        <v>9.65</v>
      </c>
      <c r="X347" s="18">
        <v>46</v>
      </c>
      <c r="Y347" s="19">
        <v>443.90000000000003</v>
      </c>
      <c r="Z347" s="20">
        <v>42.614400000000003</v>
      </c>
    </row>
    <row r="348" spans="1:26" x14ac:dyDescent="0.25">
      <c r="A348" s="16">
        <v>1402</v>
      </c>
      <c r="B348" s="17">
        <v>41999</v>
      </c>
      <c r="C348" s="18">
        <v>26</v>
      </c>
      <c r="D348" s="18" t="s">
        <v>140</v>
      </c>
      <c r="E348" s="18" t="s">
        <v>141</v>
      </c>
      <c r="F348" s="18" t="s">
        <v>115</v>
      </c>
      <c r="G348" s="18" t="s">
        <v>116</v>
      </c>
      <c r="H348" s="18">
        <v>99999</v>
      </c>
      <c r="I348" s="18" t="s">
        <v>30</v>
      </c>
      <c r="J348" s="18" t="s">
        <v>94</v>
      </c>
      <c r="K348" s="18" t="s">
        <v>95</v>
      </c>
      <c r="L348" s="17">
        <v>42001</v>
      </c>
      <c r="M348" s="18" t="s">
        <v>62</v>
      </c>
      <c r="N348" s="18" t="s">
        <v>142</v>
      </c>
      <c r="O348" s="18" t="s">
        <v>141</v>
      </c>
      <c r="P348" s="18" t="s">
        <v>115</v>
      </c>
      <c r="Q348" s="18" t="s">
        <v>116</v>
      </c>
      <c r="R348" s="18">
        <v>99999</v>
      </c>
      <c r="S348" s="18" t="s">
        <v>30</v>
      </c>
      <c r="T348" s="18" t="s">
        <v>48</v>
      </c>
      <c r="U348" s="18" t="s">
        <v>123</v>
      </c>
      <c r="V348" s="18" t="s">
        <v>124</v>
      </c>
      <c r="W348" s="19">
        <v>18.399999999999999</v>
      </c>
      <c r="X348" s="18">
        <v>93</v>
      </c>
      <c r="Y348" s="19">
        <v>1711.1999999999998</v>
      </c>
      <c r="Z348" s="20">
        <v>167.69759999999999</v>
      </c>
    </row>
    <row r="349" spans="1:26" x14ac:dyDescent="0.25">
      <c r="A349" s="16">
        <v>1403</v>
      </c>
      <c r="B349" s="17">
        <v>42002</v>
      </c>
      <c r="C349" s="18">
        <v>29</v>
      </c>
      <c r="D349" s="18" t="s">
        <v>66</v>
      </c>
      <c r="E349" s="18" t="s">
        <v>67</v>
      </c>
      <c r="F349" s="18" t="s">
        <v>68</v>
      </c>
      <c r="G349" s="18" t="s">
        <v>69</v>
      </c>
      <c r="H349" s="18">
        <v>99999</v>
      </c>
      <c r="I349" s="18" t="s">
        <v>30</v>
      </c>
      <c r="J349" s="18" t="s">
        <v>70</v>
      </c>
      <c r="K349" s="18" t="s">
        <v>32</v>
      </c>
      <c r="L349" s="17">
        <v>42004</v>
      </c>
      <c r="M349" s="18" t="s">
        <v>33</v>
      </c>
      <c r="N349" s="18" t="s">
        <v>71</v>
      </c>
      <c r="O349" s="18" t="s">
        <v>67</v>
      </c>
      <c r="P349" s="18" t="s">
        <v>68</v>
      </c>
      <c r="Q349" s="18" t="s">
        <v>69</v>
      </c>
      <c r="R349" s="18">
        <v>99999</v>
      </c>
      <c r="S349" s="18" t="s">
        <v>30</v>
      </c>
      <c r="T349" s="18" t="s">
        <v>35</v>
      </c>
      <c r="U349" s="18" t="s">
        <v>36</v>
      </c>
      <c r="V349" s="18" t="s">
        <v>37</v>
      </c>
      <c r="W349" s="19">
        <v>14</v>
      </c>
      <c r="X349" s="18">
        <v>96</v>
      </c>
      <c r="Y349" s="19">
        <v>1344</v>
      </c>
      <c r="Z349" s="20">
        <v>141.12</v>
      </c>
    </row>
    <row r="350" spans="1:26" x14ac:dyDescent="0.25">
      <c r="A350" s="16">
        <v>1404</v>
      </c>
      <c r="B350" s="17">
        <v>41979</v>
      </c>
      <c r="C350" s="18">
        <v>6</v>
      </c>
      <c r="D350" s="18" t="s">
        <v>82</v>
      </c>
      <c r="E350" s="18" t="s">
        <v>83</v>
      </c>
      <c r="F350" s="18" t="s">
        <v>84</v>
      </c>
      <c r="G350" s="18" t="s">
        <v>85</v>
      </c>
      <c r="H350" s="18">
        <v>99999</v>
      </c>
      <c r="I350" s="18" t="s">
        <v>30</v>
      </c>
      <c r="J350" s="18" t="s">
        <v>86</v>
      </c>
      <c r="K350" s="18" t="s">
        <v>61</v>
      </c>
      <c r="L350" s="17">
        <v>41981</v>
      </c>
      <c r="M350" s="18" t="s">
        <v>62</v>
      </c>
      <c r="N350" s="18" t="s">
        <v>87</v>
      </c>
      <c r="O350" s="18" t="s">
        <v>83</v>
      </c>
      <c r="P350" s="18" t="s">
        <v>84</v>
      </c>
      <c r="Q350" s="18" t="s">
        <v>85</v>
      </c>
      <c r="R350" s="18">
        <v>99999</v>
      </c>
      <c r="S350" s="18" t="s">
        <v>30</v>
      </c>
      <c r="T350" s="18" t="s">
        <v>35</v>
      </c>
      <c r="U350" s="18" t="s">
        <v>72</v>
      </c>
      <c r="V350" s="18" t="s">
        <v>73</v>
      </c>
      <c r="W350" s="19">
        <v>12.75</v>
      </c>
      <c r="X350" s="18">
        <v>12</v>
      </c>
      <c r="Y350" s="19">
        <v>153</v>
      </c>
      <c r="Z350" s="20">
        <v>16.065000000000001</v>
      </c>
    </row>
    <row r="351" spans="1:26" x14ac:dyDescent="0.25">
      <c r="A351" s="16">
        <v>1406</v>
      </c>
      <c r="B351" s="17">
        <v>41977</v>
      </c>
      <c r="C351" s="18">
        <v>4</v>
      </c>
      <c r="D351" s="18" t="s">
        <v>40</v>
      </c>
      <c r="E351" s="18" t="s">
        <v>41</v>
      </c>
      <c r="F351" s="18" t="s">
        <v>42</v>
      </c>
      <c r="G351" s="18" t="s">
        <v>43</v>
      </c>
      <c r="H351" s="18">
        <v>99999</v>
      </c>
      <c r="I351" s="18" t="s">
        <v>30</v>
      </c>
      <c r="J351" s="18" t="s">
        <v>44</v>
      </c>
      <c r="K351" s="18" t="s">
        <v>45</v>
      </c>
      <c r="L351" s="17">
        <v>41979</v>
      </c>
      <c r="M351" s="18" t="s">
        <v>46</v>
      </c>
      <c r="N351" s="18" t="s">
        <v>47</v>
      </c>
      <c r="O351" s="18" t="s">
        <v>41</v>
      </c>
      <c r="P351" s="18" t="s">
        <v>42</v>
      </c>
      <c r="Q351" s="18" t="s">
        <v>43</v>
      </c>
      <c r="R351" s="18">
        <v>99999</v>
      </c>
      <c r="S351" s="18" t="s">
        <v>30</v>
      </c>
      <c r="T351" s="18" t="s">
        <v>48</v>
      </c>
      <c r="U351" s="18" t="s">
        <v>149</v>
      </c>
      <c r="V351" s="18" t="s">
        <v>110</v>
      </c>
      <c r="W351" s="19">
        <v>81</v>
      </c>
      <c r="X351" s="18">
        <v>38</v>
      </c>
      <c r="Y351" s="19">
        <v>3078</v>
      </c>
      <c r="Z351" s="20">
        <v>292.41000000000003</v>
      </c>
    </row>
    <row r="352" spans="1:26" x14ac:dyDescent="0.25">
      <c r="A352" s="16">
        <v>1407</v>
      </c>
      <c r="B352" s="17">
        <v>41977</v>
      </c>
      <c r="C352" s="18">
        <v>4</v>
      </c>
      <c r="D352" s="18" t="s">
        <v>40</v>
      </c>
      <c r="E352" s="18" t="s">
        <v>41</v>
      </c>
      <c r="F352" s="18" t="s">
        <v>42</v>
      </c>
      <c r="G352" s="18" t="s">
        <v>43</v>
      </c>
      <c r="H352" s="18">
        <v>99999</v>
      </c>
      <c r="I352" s="18" t="s">
        <v>30</v>
      </c>
      <c r="J352" s="18" t="s">
        <v>44</v>
      </c>
      <c r="K352" s="18" t="s">
        <v>45</v>
      </c>
      <c r="L352" s="17">
        <v>41979</v>
      </c>
      <c r="M352" s="18" t="s">
        <v>46</v>
      </c>
      <c r="N352" s="18" t="s">
        <v>47</v>
      </c>
      <c r="O352" s="18" t="s">
        <v>41</v>
      </c>
      <c r="P352" s="18" t="s">
        <v>42</v>
      </c>
      <c r="Q352" s="18" t="s">
        <v>43</v>
      </c>
      <c r="R352" s="18">
        <v>99999</v>
      </c>
      <c r="S352" s="18" t="s">
        <v>30</v>
      </c>
      <c r="T352" s="18" t="s">
        <v>48</v>
      </c>
      <c r="U352" s="18" t="s">
        <v>150</v>
      </c>
      <c r="V352" s="18" t="s">
        <v>151</v>
      </c>
      <c r="W352" s="19">
        <v>7</v>
      </c>
      <c r="X352" s="18">
        <v>42</v>
      </c>
      <c r="Y352" s="19">
        <v>294</v>
      </c>
      <c r="Z352" s="20">
        <v>29.106000000000002</v>
      </c>
    </row>
    <row r="353" spans="1:26" x14ac:dyDescent="0.25">
      <c r="A353" s="16">
        <v>1409</v>
      </c>
      <c r="B353" s="17">
        <v>41981</v>
      </c>
      <c r="C353" s="18">
        <v>8</v>
      </c>
      <c r="D353" s="18" t="s">
        <v>56</v>
      </c>
      <c r="E353" s="18" t="s">
        <v>57</v>
      </c>
      <c r="F353" s="18" t="s">
        <v>58</v>
      </c>
      <c r="G353" s="18" t="s">
        <v>59</v>
      </c>
      <c r="H353" s="18">
        <v>99999</v>
      </c>
      <c r="I353" s="18" t="s">
        <v>30</v>
      </c>
      <c r="J353" s="18" t="s">
        <v>60</v>
      </c>
      <c r="K353" s="18" t="s">
        <v>61</v>
      </c>
      <c r="L353" s="17">
        <v>41983</v>
      </c>
      <c r="M353" s="18" t="s">
        <v>62</v>
      </c>
      <c r="N353" s="18" t="s">
        <v>63</v>
      </c>
      <c r="O353" s="18" t="s">
        <v>57</v>
      </c>
      <c r="P353" s="18" t="s">
        <v>58</v>
      </c>
      <c r="Q353" s="18" t="s">
        <v>59</v>
      </c>
      <c r="R353" s="18">
        <v>99999</v>
      </c>
      <c r="S353" s="18" t="s">
        <v>30</v>
      </c>
      <c r="T353" s="18" t="s">
        <v>48</v>
      </c>
      <c r="U353" s="18" t="s">
        <v>133</v>
      </c>
      <c r="V353" s="18" t="s">
        <v>134</v>
      </c>
      <c r="W353" s="19">
        <v>34.799999999999997</v>
      </c>
      <c r="X353" s="18">
        <v>100</v>
      </c>
      <c r="Y353" s="19">
        <v>3479.9999999999995</v>
      </c>
      <c r="Z353" s="20">
        <v>344.52</v>
      </c>
    </row>
    <row r="354" spans="1:26" x14ac:dyDescent="0.25">
      <c r="A354" s="16">
        <v>1412</v>
      </c>
      <c r="B354" s="17">
        <v>41976</v>
      </c>
      <c r="C354" s="18">
        <v>3</v>
      </c>
      <c r="D354" s="18" t="s">
        <v>74</v>
      </c>
      <c r="E354" s="18" t="s">
        <v>75</v>
      </c>
      <c r="F354" s="18" t="s">
        <v>76</v>
      </c>
      <c r="G354" s="18" t="s">
        <v>77</v>
      </c>
      <c r="H354" s="18">
        <v>99999</v>
      </c>
      <c r="I354" s="18" t="s">
        <v>30</v>
      </c>
      <c r="J354" s="18" t="s">
        <v>31</v>
      </c>
      <c r="K354" s="18" t="s">
        <v>32</v>
      </c>
      <c r="L354" s="17">
        <v>41978</v>
      </c>
      <c r="M354" s="18" t="s">
        <v>33</v>
      </c>
      <c r="N354" s="18" t="s">
        <v>78</v>
      </c>
      <c r="O354" s="18" t="s">
        <v>75</v>
      </c>
      <c r="P354" s="18" t="s">
        <v>76</v>
      </c>
      <c r="Q354" s="18" t="s">
        <v>77</v>
      </c>
      <c r="R354" s="18">
        <v>99999</v>
      </c>
      <c r="S354" s="18" t="s">
        <v>30</v>
      </c>
      <c r="T354" s="18" t="s">
        <v>79</v>
      </c>
      <c r="U354" s="18" t="s">
        <v>135</v>
      </c>
      <c r="V354" s="18" t="s">
        <v>112</v>
      </c>
      <c r="W354" s="19">
        <v>10</v>
      </c>
      <c r="X354" s="18">
        <v>89</v>
      </c>
      <c r="Y354" s="19">
        <v>890</v>
      </c>
      <c r="Z354" s="20">
        <v>87.22</v>
      </c>
    </row>
    <row r="355" spans="1:26" x14ac:dyDescent="0.25">
      <c r="A355" s="16">
        <v>1413</v>
      </c>
      <c r="B355" s="17">
        <v>41976</v>
      </c>
      <c r="C355" s="18">
        <v>3</v>
      </c>
      <c r="D355" s="18" t="s">
        <v>74</v>
      </c>
      <c r="E355" s="18" t="s">
        <v>75</v>
      </c>
      <c r="F355" s="18" t="s">
        <v>76</v>
      </c>
      <c r="G355" s="18" t="s">
        <v>77</v>
      </c>
      <c r="H355" s="18">
        <v>99999</v>
      </c>
      <c r="I355" s="18" t="s">
        <v>30</v>
      </c>
      <c r="J355" s="18" t="s">
        <v>31</v>
      </c>
      <c r="K355" s="18" t="s">
        <v>32</v>
      </c>
      <c r="L355" s="17">
        <v>41978</v>
      </c>
      <c r="M355" s="18" t="s">
        <v>33</v>
      </c>
      <c r="N355" s="18" t="s">
        <v>78</v>
      </c>
      <c r="O355" s="18" t="s">
        <v>75</v>
      </c>
      <c r="P355" s="18" t="s">
        <v>76</v>
      </c>
      <c r="Q355" s="18" t="s">
        <v>77</v>
      </c>
      <c r="R355" s="18">
        <v>99999</v>
      </c>
      <c r="S355" s="18" t="s">
        <v>30</v>
      </c>
      <c r="T355" s="18" t="s">
        <v>79</v>
      </c>
      <c r="U355" s="18" t="s">
        <v>88</v>
      </c>
      <c r="V355" s="18" t="s">
        <v>89</v>
      </c>
      <c r="W355" s="19">
        <v>40</v>
      </c>
      <c r="X355" s="18">
        <v>12</v>
      </c>
      <c r="Y355" s="19">
        <v>480</v>
      </c>
      <c r="Z355" s="20">
        <v>46.56</v>
      </c>
    </row>
    <row r="356" spans="1:26" x14ac:dyDescent="0.25">
      <c r="A356" s="16">
        <v>1417</v>
      </c>
      <c r="B356" s="17">
        <v>41983</v>
      </c>
      <c r="C356" s="18">
        <v>10</v>
      </c>
      <c r="D356" s="18" t="s">
        <v>97</v>
      </c>
      <c r="E356" s="18" t="s">
        <v>98</v>
      </c>
      <c r="F356" s="18" t="s">
        <v>99</v>
      </c>
      <c r="G356" s="18" t="s">
        <v>100</v>
      </c>
      <c r="H356" s="18">
        <v>99999</v>
      </c>
      <c r="I356" s="18" t="s">
        <v>30</v>
      </c>
      <c r="J356" s="18" t="s">
        <v>101</v>
      </c>
      <c r="K356" s="18" t="s">
        <v>45</v>
      </c>
      <c r="L356" s="17">
        <v>41985</v>
      </c>
      <c r="M356" s="18" t="s">
        <v>33</v>
      </c>
      <c r="N356" s="18" t="s">
        <v>102</v>
      </c>
      <c r="O356" s="18" t="s">
        <v>98</v>
      </c>
      <c r="P356" s="18" t="s">
        <v>99</v>
      </c>
      <c r="Q356" s="18" t="s">
        <v>100</v>
      </c>
      <c r="R356" s="18">
        <v>99999</v>
      </c>
      <c r="S356" s="18" t="s">
        <v>30</v>
      </c>
      <c r="T356" s="18" t="s">
        <v>48</v>
      </c>
      <c r="U356" s="18" t="s">
        <v>136</v>
      </c>
      <c r="V356" s="18" t="s">
        <v>39</v>
      </c>
      <c r="W356" s="19">
        <v>10</v>
      </c>
      <c r="X356" s="18">
        <v>97</v>
      </c>
      <c r="Y356" s="19">
        <v>970</v>
      </c>
      <c r="Z356" s="20">
        <v>100.88000000000001</v>
      </c>
    </row>
    <row r="357" spans="1:26" x14ac:dyDescent="0.25">
      <c r="A357" s="16">
        <v>1419</v>
      </c>
      <c r="B357" s="17">
        <v>41983</v>
      </c>
      <c r="C357" s="18">
        <v>10</v>
      </c>
      <c r="D357" s="18" t="s">
        <v>97</v>
      </c>
      <c r="E357" s="18" t="s">
        <v>98</v>
      </c>
      <c r="F357" s="18" t="s">
        <v>99</v>
      </c>
      <c r="G357" s="18" t="s">
        <v>100</v>
      </c>
      <c r="H357" s="18">
        <v>99999</v>
      </c>
      <c r="I357" s="18" t="s">
        <v>30</v>
      </c>
      <c r="J357" s="18" t="s">
        <v>101</v>
      </c>
      <c r="K357" s="18" t="s">
        <v>45</v>
      </c>
      <c r="L357" s="17"/>
      <c r="M357" s="18" t="s">
        <v>46</v>
      </c>
      <c r="N357" s="18" t="s">
        <v>102</v>
      </c>
      <c r="O357" s="18" t="s">
        <v>98</v>
      </c>
      <c r="P357" s="18" t="s">
        <v>99</v>
      </c>
      <c r="Q357" s="18" t="s">
        <v>100</v>
      </c>
      <c r="R357" s="18">
        <v>99999</v>
      </c>
      <c r="S357" s="18" t="s">
        <v>30</v>
      </c>
      <c r="T357" s="18"/>
      <c r="U357" s="18" t="s">
        <v>38</v>
      </c>
      <c r="V357" s="18" t="s">
        <v>39</v>
      </c>
      <c r="W357" s="19">
        <v>3.5</v>
      </c>
      <c r="X357" s="18">
        <v>53</v>
      </c>
      <c r="Y357" s="19">
        <v>185.5</v>
      </c>
      <c r="Z357" s="20">
        <v>17.622499999999999</v>
      </c>
    </row>
    <row r="358" spans="1:26" x14ac:dyDescent="0.25">
      <c r="A358" s="16">
        <v>1420</v>
      </c>
      <c r="B358" s="17">
        <v>41984</v>
      </c>
      <c r="C358" s="18">
        <v>11</v>
      </c>
      <c r="D358" s="18" t="s">
        <v>113</v>
      </c>
      <c r="E358" s="18" t="s">
        <v>114</v>
      </c>
      <c r="F358" s="18" t="s">
        <v>115</v>
      </c>
      <c r="G358" s="18" t="s">
        <v>116</v>
      </c>
      <c r="H358" s="18">
        <v>99999</v>
      </c>
      <c r="I358" s="18" t="s">
        <v>30</v>
      </c>
      <c r="J358" s="18" t="s">
        <v>94</v>
      </c>
      <c r="K358" s="18" t="s">
        <v>95</v>
      </c>
      <c r="L358" s="17"/>
      <c r="M358" s="18" t="s">
        <v>62</v>
      </c>
      <c r="N358" s="18" t="s">
        <v>117</v>
      </c>
      <c r="O358" s="18" t="s">
        <v>114</v>
      </c>
      <c r="P358" s="18" t="s">
        <v>115</v>
      </c>
      <c r="Q358" s="18" t="s">
        <v>116</v>
      </c>
      <c r="R358" s="18">
        <v>99999</v>
      </c>
      <c r="S358" s="18" t="s">
        <v>30</v>
      </c>
      <c r="T358" s="18"/>
      <c r="U358" s="18" t="s">
        <v>88</v>
      </c>
      <c r="V358" s="18" t="s">
        <v>89</v>
      </c>
      <c r="W358" s="19">
        <v>40</v>
      </c>
      <c r="X358" s="18">
        <v>61</v>
      </c>
      <c r="Y358" s="19">
        <v>2440</v>
      </c>
      <c r="Z358" s="20">
        <v>248.88</v>
      </c>
    </row>
    <row r="359" spans="1:26" x14ac:dyDescent="0.25">
      <c r="A359" s="16">
        <v>1421</v>
      </c>
      <c r="B359" s="17">
        <v>41974</v>
      </c>
      <c r="C359" s="18">
        <v>1</v>
      </c>
      <c r="D359" s="18" t="s">
        <v>118</v>
      </c>
      <c r="E359" s="18" t="s">
        <v>119</v>
      </c>
      <c r="F359" s="18" t="s">
        <v>120</v>
      </c>
      <c r="G359" s="18" t="s">
        <v>121</v>
      </c>
      <c r="H359" s="18">
        <v>99999</v>
      </c>
      <c r="I359" s="18" t="s">
        <v>30</v>
      </c>
      <c r="J359" s="18" t="s">
        <v>60</v>
      </c>
      <c r="K359" s="18" t="s">
        <v>61</v>
      </c>
      <c r="L359" s="17"/>
      <c r="M359" s="18" t="s">
        <v>62</v>
      </c>
      <c r="N359" s="18" t="s">
        <v>122</v>
      </c>
      <c r="O359" s="18" t="s">
        <v>119</v>
      </c>
      <c r="P359" s="18" t="s">
        <v>120</v>
      </c>
      <c r="Q359" s="18" t="s">
        <v>121</v>
      </c>
      <c r="R359" s="18">
        <v>99999</v>
      </c>
      <c r="S359" s="18" t="s">
        <v>30</v>
      </c>
      <c r="T359" s="18"/>
      <c r="U359" s="18" t="s">
        <v>123</v>
      </c>
      <c r="V359" s="18" t="s">
        <v>124</v>
      </c>
      <c r="W359" s="19">
        <v>18.399999999999999</v>
      </c>
      <c r="X359" s="18">
        <v>45</v>
      </c>
      <c r="Y359" s="19">
        <v>827.99999999999989</v>
      </c>
      <c r="Z359" s="20">
        <v>81.143999999999991</v>
      </c>
    </row>
    <row r="360" spans="1:26" x14ac:dyDescent="0.25">
      <c r="A360" s="16">
        <v>1422</v>
      </c>
      <c r="B360" s="17">
        <v>42001</v>
      </c>
      <c r="C360" s="18">
        <v>28</v>
      </c>
      <c r="D360" s="18" t="s">
        <v>90</v>
      </c>
      <c r="E360" s="18" t="s">
        <v>91</v>
      </c>
      <c r="F360" s="18" t="s">
        <v>92</v>
      </c>
      <c r="G360" s="18" t="s">
        <v>93</v>
      </c>
      <c r="H360" s="18">
        <v>99999</v>
      </c>
      <c r="I360" s="18" t="s">
        <v>30</v>
      </c>
      <c r="J360" s="18" t="s">
        <v>94</v>
      </c>
      <c r="K360" s="18" t="s">
        <v>95</v>
      </c>
      <c r="L360" s="17">
        <v>42003</v>
      </c>
      <c r="M360" s="18" t="s">
        <v>62</v>
      </c>
      <c r="N360" s="18" t="s">
        <v>96</v>
      </c>
      <c r="O360" s="18" t="s">
        <v>91</v>
      </c>
      <c r="P360" s="18" t="s">
        <v>92</v>
      </c>
      <c r="Q360" s="18" t="s">
        <v>93</v>
      </c>
      <c r="R360" s="18">
        <v>99999</v>
      </c>
      <c r="S360" s="18" t="s">
        <v>30</v>
      </c>
      <c r="T360" s="18" t="s">
        <v>48</v>
      </c>
      <c r="U360" s="18" t="s">
        <v>55</v>
      </c>
      <c r="V360" s="18" t="s">
        <v>37</v>
      </c>
      <c r="W360" s="19">
        <v>46</v>
      </c>
      <c r="X360" s="18">
        <v>43</v>
      </c>
      <c r="Y360" s="19">
        <v>1978</v>
      </c>
      <c r="Z360" s="20">
        <v>197.8</v>
      </c>
    </row>
    <row r="361" spans="1:26" x14ac:dyDescent="0.25">
      <c r="A361" s="16">
        <v>1423</v>
      </c>
      <c r="B361" s="17">
        <v>41982</v>
      </c>
      <c r="C361" s="18">
        <v>9</v>
      </c>
      <c r="D361" s="18" t="s">
        <v>125</v>
      </c>
      <c r="E361" s="18" t="s">
        <v>126</v>
      </c>
      <c r="F361" s="18" t="s">
        <v>127</v>
      </c>
      <c r="G361" s="18" t="s">
        <v>128</v>
      </c>
      <c r="H361" s="18">
        <v>99999</v>
      </c>
      <c r="I361" s="18" t="s">
        <v>30</v>
      </c>
      <c r="J361" s="18" t="s">
        <v>129</v>
      </c>
      <c r="K361" s="18" t="s">
        <v>32</v>
      </c>
      <c r="L361" s="17">
        <v>41984</v>
      </c>
      <c r="M361" s="18" t="s">
        <v>46</v>
      </c>
      <c r="N361" s="18" t="s">
        <v>130</v>
      </c>
      <c r="O361" s="18" t="s">
        <v>126</v>
      </c>
      <c r="P361" s="18" t="s">
        <v>127</v>
      </c>
      <c r="Q361" s="18" t="s">
        <v>128</v>
      </c>
      <c r="R361" s="18">
        <v>99999</v>
      </c>
      <c r="S361" s="18" t="s">
        <v>30</v>
      </c>
      <c r="T361" s="18" t="s">
        <v>35</v>
      </c>
      <c r="U361" s="18" t="s">
        <v>80</v>
      </c>
      <c r="V361" s="18" t="s">
        <v>81</v>
      </c>
      <c r="W361" s="19">
        <v>9.65</v>
      </c>
      <c r="X361" s="18">
        <v>18</v>
      </c>
      <c r="Y361" s="19">
        <v>173.70000000000002</v>
      </c>
      <c r="Z361" s="20">
        <v>16.5015</v>
      </c>
    </row>
    <row r="362" spans="1:26" x14ac:dyDescent="0.25">
      <c r="A362" s="16">
        <v>1424</v>
      </c>
      <c r="B362" s="17">
        <v>41979</v>
      </c>
      <c r="C362" s="18">
        <v>6</v>
      </c>
      <c r="D362" s="18" t="s">
        <v>82</v>
      </c>
      <c r="E362" s="18" t="s">
        <v>83</v>
      </c>
      <c r="F362" s="18" t="s">
        <v>84</v>
      </c>
      <c r="G362" s="18" t="s">
        <v>85</v>
      </c>
      <c r="H362" s="18">
        <v>99999</v>
      </c>
      <c r="I362" s="18" t="s">
        <v>30</v>
      </c>
      <c r="J362" s="18" t="s">
        <v>86</v>
      </c>
      <c r="K362" s="18" t="s">
        <v>61</v>
      </c>
      <c r="L362" s="17">
        <v>41981</v>
      </c>
      <c r="M362" s="18" t="s">
        <v>33</v>
      </c>
      <c r="N362" s="18" t="s">
        <v>87</v>
      </c>
      <c r="O362" s="18" t="s">
        <v>83</v>
      </c>
      <c r="P362" s="18" t="s">
        <v>84</v>
      </c>
      <c r="Q362" s="18" t="s">
        <v>85</v>
      </c>
      <c r="R362" s="18">
        <v>99999</v>
      </c>
      <c r="S362" s="18" t="s">
        <v>30</v>
      </c>
      <c r="T362" s="18" t="s">
        <v>48</v>
      </c>
      <c r="U362" s="18" t="s">
        <v>72</v>
      </c>
      <c r="V362" s="18" t="s">
        <v>73</v>
      </c>
      <c r="W362" s="19">
        <v>12.75</v>
      </c>
      <c r="X362" s="18">
        <v>41</v>
      </c>
      <c r="Y362" s="19">
        <v>522.75</v>
      </c>
      <c r="Z362" s="20">
        <v>50.706750000000007</v>
      </c>
    </row>
    <row r="363" spans="1:26" x14ac:dyDescent="0.25">
      <c r="A363" s="16">
        <v>1425</v>
      </c>
      <c r="B363" s="17">
        <v>41981</v>
      </c>
      <c r="C363" s="18">
        <v>8</v>
      </c>
      <c r="D363" s="18" t="s">
        <v>56</v>
      </c>
      <c r="E363" s="18" t="s">
        <v>57</v>
      </c>
      <c r="F363" s="18" t="s">
        <v>58</v>
      </c>
      <c r="G363" s="18" t="s">
        <v>59</v>
      </c>
      <c r="H363" s="18">
        <v>99999</v>
      </c>
      <c r="I363" s="18" t="s">
        <v>30</v>
      </c>
      <c r="J363" s="18" t="s">
        <v>60</v>
      </c>
      <c r="K363" s="18" t="s">
        <v>61</v>
      </c>
      <c r="L363" s="18">
        <v>41983</v>
      </c>
      <c r="M363" s="18" t="s">
        <v>33</v>
      </c>
      <c r="N363" s="18" t="s">
        <v>63</v>
      </c>
      <c r="O363" s="18" t="s">
        <v>57</v>
      </c>
      <c r="P363" s="18" t="s">
        <v>58</v>
      </c>
      <c r="Q363" s="18" t="s">
        <v>59</v>
      </c>
      <c r="R363" s="18">
        <v>99999</v>
      </c>
      <c r="S363" s="18" t="s">
        <v>30</v>
      </c>
      <c r="T363" s="18" t="s">
        <v>35</v>
      </c>
      <c r="U363" s="18" t="s">
        <v>72</v>
      </c>
      <c r="V363" s="18" t="s">
        <v>73</v>
      </c>
      <c r="W363" s="19">
        <v>12.75</v>
      </c>
      <c r="X363" s="18">
        <v>19</v>
      </c>
      <c r="Y363" s="19">
        <v>242.25</v>
      </c>
      <c r="Z363" s="20">
        <v>23.982750000000003</v>
      </c>
    </row>
    <row r="364" spans="1:26" x14ac:dyDescent="0.25">
      <c r="A364" s="16">
        <v>1426</v>
      </c>
      <c r="B364" s="17">
        <v>41998</v>
      </c>
      <c r="C364" s="18">
        <v>25</v>
      </c>
      <c r="D364" s="18" t="s">
        <v>137</v>
      </c>
      <c r="E364" s="18" t="s">
        <v>138</v>
      </c>
      <c r="F364" s="18" t="s">
        <v>99</v>
      </c>
      <c r="G364" s="18" t="s">
        <v>100</v>
      </c>
      <c r="H364" s="18">
        <v>99999</v>
      </c>
      <c r="I364" s="18" t="s">
        <v>30</v>
      </c>
      <c r="J364" s="18" t="s">
        <v>101</v>
      </c>
      <c r="K364" s="18" t="s">
        <v>45</v>
      </c>
      <c r="L364" s="18">
        <v>42000</v>
      </c>
      <c r="M364" s="18" t="s">
        <v>46</v>
      </c>
      <c r="N364" s="18" t="s">
        <v>139</v>
      </c>
      <c r="O364" s="18" t="s">
        <v>138</v>
      </c>
      <c r="P364" s="18" t="s">
        <v>99</v>
      </c>
      <c r="Q364" s="18" t="s">
        <v>100</v>
      </c>
      <c r="R364" s="18">
        <v>99999</v>
      </c>
      <c r="S364" s="18" t="s">
        <v>30</v>
      </c>
      <c r="T364" s="18" t="s">
        <v>79</v>
      </c>
      <c r="U364" s="18" t="s">
        <v>111</v>
      </c>
      <c r="V364" s="18" t="s">
        <v>112</v>
      </c>
      <c r="W364" s="19">
        <v>22</v>
      </c>
      <c r="X364" s="18">
        <v>65</v>
      </c>
      <c r="Y364" s="19">
        <v>1430</v>
      </c>
      <c r="Z364" s="20">
        <v>138.71</v>
      </c>
    </row>
    <row r="365" spans="1:26" x14ac:dyDescent="0.25">
      <c r="A365" s="16">
        <v>1427</v>
      </c>
      <c r="B365" s="17">
        <v>41999</v>
      </c>
      <c r="C365" s="18">
        <v>26</v>
      </c>
      <c r="D365" s="18" t="s">
        <v>140</v>
      </c>
      <c r="E365" s="18" t="s">
        <v>141</v>
      </c>
      <c r="F365" s="18" t="s">
        <v>115</v>
      </c>
      <c r="G365" s="18" t="s">
        <v>116</v>
      </c>
      <c r="H365" s="18">
        <v>99999</v>
      </c>
      <c r="I365" s="18" t="s">
        <v>30</v>
      </c>
      <c r="J365" s="18" t="s">
        <v>94</v>
      </c>
      <c r="K365" s="18" t="s">
        <v>95</v>
      </c>
      <c r="L365" s="18">
        <v>42001</v>
      </c>
      <c r="M365" s="18" t="s">
        <v>62</v>
      </c>
      <c r="N365" s="18" t="s">
        <v>142</v>
      </c>
      <c r="O365" s="18" t="s">
        <v>141</v>
      </c>
      <c r="P365" s="18" t="s">
        <v>115</v>
      </c>
      <c r="Q365" s="18" t="s">
        <v>116</v>
      </c>
      <c r="R365" s="18">
        <v>99999</v>
      </c>
      <c r="S365" s="18" t="s">
        <v>30</v>
      </c>
      <c r="T365" s="18" t="s">
        <v>48</v>
      </c>
      <c r="U365" s="18" t="s">
        <v>109</v>
      </c>
      <c r="V365" s="18" t="s">
        <v>110</v>
      </c>
      <c r="W365" s="19">
        <v>25</v>
      </c>
      <c r="X365" s="18">
        <v>13</v>
      </c>
      <c r="Y365" s="19">
        <v>325</v>
      </c>
      <c r="Z365" s="20">
        <v>32.174999999999997</v>
      </c>
    </row>
    <row r="366" spans="1:26" x14ac:dyDescent="0.25">
      <c r="A366" s="16">
        <v>1428</v>
      </c>
      <c r="B366" s="17">
        <v>42002</v>
      </c>
      <c r="C366" s="18">
        <v>29</v>
      </c>
      <c r="D366" s="18" t="s">
        <v>66</v>
      </c>
      <c r="E366" s="18" t="s">
        <v>67</v>
      </c>
      <c r="F366" s="18" t="s">
        <v>68</v>
      </c>
      <c r="G366" s="18" t="s">
        <v>69</v>
      </c>
      <c r="H366" s="18">
        <v>99999</v>
      </c>
      <c r="I366" s="18" t="s">
        <v>30</v>
      </c>
      <c r="J366" s="18" t="s">
        <v>70</v>
      </c>
      <c r="K366" s="18" t="s">
        <v>32</v>
      </c>
      <c r="L366" s="18">
        <v>42004</v>
      </c>
      <c r="M366" s="18" t="s">
        <v>33</v>
      </c>
      <c r="N366" s="18" t="s">
        <v>71</v>
      </c>
      <c r="O366" s="18" t="s">
        <v>67</v>
      </c>
      <c r="P366" s="18" t="s">
        <v>68</v>
      </c>
      <c r="Q366" s="18" t="s">
        <v>69</v>
      </c>
      <c r="R366" s="18">
        <v>99999</v>
      </c>
      <c r="S366" s="18" t="s">
        <v>30</v>
      </c>
      <c r="T366" s="18" t="s">
        <v>35</v>
      </c>
      <c r="U366" s="18" t="s">
        <v>143</v>
      </c>
      <c r="V366" s="18" t="s">
        <v>144</v>
      </c>
      <c r="W366" s="19">
        <v>39</v>
      </c>
      <c r="X366" s="18">
        <v>54</v>
      </c>
      <c r="Y366" s="19">
        <v>2106</v>
      </c>
      <c r="Z366" s="20">
        <v>214.81200000000004</v>
      </c>
    </row>
    <row r="367" spans="1:26" x14ac:dyDescent="0.25">
      <c r="A367" s="16">
        <v>1429</v>
      </c>
      <c r="B367" s="17">
        <v>41979</v>
      </c>
      <c r="C367" s="18">
        <v>6</v>
      </c>
      <c r="D367" s="18" t="s">
        <v>82</v>
      </c>
      <c r="E367" s="18" t="s">
        <v>83</v>
      </c>
      <c r="F367" s="18" t="s">
        <v>84</v>
      </c>
      <c r="G367" s="18" t="s">
        <v>85</v>
      </c>
      <c r="H367" s="18">
        <v>99999</v>
      </c>
      <c r="I367" s="18" t="s">
        <v>30</v>
      </c>
      <c r="J367" s="18" t="s">
        <v>86</v>
      </c>
      <c r="K367" s="18" t="s">
        <v>61</v>
      </c>
      <c r="L367" s="17">
        <v>41981</v>
      </c>
      <c r="M367" s="18" t="s">
        <v>62</v>
      </c>
      <c r="N367" s="18" t="s">
        <v>87</v>
      </c>
      <c r="O367" s="18" t="s">
        <v>83</v>
      </c>
      <c r="P367" s="18" t="s">
        <v>84</v>
      </c>
      <c r="Q367" s="18" t="s">
        <v>85</v>
      </c>
      <c r="R367" s="18">
        <v>99999</v>
      </c>
      <c r="S367" s="18" t="s">
        <v>30</v>
      </c>
      <c r="T367" s="18" t="s">
        <v>35</v>
      </c>
      <c r="U367" s="18" t="s">
        <v>49</v>
      </c>
      <c r="V367" s="18" t="s">
        <v>39</v>
      </c>
      <c r="W367" s="19">
        <v>30</v>
      </c>
      <c r="X367" s="18">
        <v>33</v>
      </c>
      <c r="Y367" s="19">
        <v>990</v>
      </c>
      <c r="Z367" s="20">
        <v>95.039999999999992</v>
      </c>
    </row>
    <row r="368" spans="1:26" x14ac:dyDescent="0.25">
      <c r="A368" s="16">
        <v>1430</v>
      </c>
      <c r="B368" s="17">
        <v>41979</v>
      </c>
      <c r="C368" s="18">
        <v>6</v>
      </c>
      <c r="D368" s="18" t="s">
        <v>82</v>
      </c>
      <c r="E368" s="18" t="s">
        <v>83</v>
      </c>
      <c r="F368" s="18" t="s">
        <v>84</v>
      </c>
      <c r="G368" s="18" t="s">
        <v>85</v>
      </c>
      <c r="H368" s="18">
        <v>99999</v>
      </c>
      <c r="I368" s="18" t="s">
        <v>30</v>
      </c>
      <c r="J368" s="18" t="s">
        <v>86</v>
      </c>
      <c r="K368" s="18" t="s">
        <v>61</v>
      </c>
      <c r="L368" s="17">
        <v>41981</v>
      </c>
      <c r="M368" s="18" t="s">
        <v>62</v>
      </c>
      <c r="N368" s="18" t="s">
        <v>87</v>
      </c>
      <c r="O368" s="18" t="s">
        <v>83</v>
      </c>
      <c r="P368" s="18" t="s">
        <v>84</v>
      </c>
      <c r="Q368" s="18" t="s">
        <v>85</v>
      </c>
      <c r="R368" s="18">
        <v>99999</v>
      </c>
      <c r="S368" s="18" t="s">
        <v>30</v>
      </c>
      <c r="T368" s="18" t="s">
        <v>35</v>
      </c>
      <c r="U368" s="18" t="s">
        <v>50</v>
      </c>
      <c r="V368" s="18" t="s">
        <v>39</v>
      </c>
      <c r="W368" s="19">
        <v>53</v>
      </c>
      <c r="X368" s="18">
        <v>34</v>
      </c>
      <c r="Y368" s="19">
        <v>1802</v>
      </c>
      <c r="Z368" s="20">
        <v>185.60600000000002</v>
      </c>
    </row>
    <row r="369" spans="1:26" x14ac:dyDescent="0.25">
      <c r="A369" s="16">
        <v>1431</v>
      </c>
      <c r="B369" s="17">
        <v>41977</v>
      </c>
      <c r="C369" s="18">
        <v>4</v>
      </c>
      <c r="D369" s="18" t="s">
        <v>40</v>
      </c>
      <c r="E369" s="18" t="s">
        <v>41</v>
      </c>
      <c r="F369" s="18" t="s">
        <v>42</v>
      </c>
      <c r="G369" s="18" t="s">
        <v>43</v>
      </c>
      <c r="H369" s="18">
        <v>99999</v>
      </c>
      <c r="I369" s="18" t="s">
        <v>30</v>
      </c>
      <c r="J369" s="18" t="s">
        <v>44</v>
      </c>
      <c r="K369" s="18" t="s">
        <v>45</v>
      </c>
      <c r="L369" s="17"/>
      <c r="M369" s="18"/>
      <c r="N369" s="18" t="s">
        <v>47</v>
      </c>
      <c r="O369" s="18" t="s">
        <v>41</v>
      </c>
      <c r="P369" s="18" t="s">
        <v>42</v>
      </c>
      <c r="Q369" s="18" t="s">
        <v>43</v>
      </c>
      <c r="R369" s="18">
        <v>99999</v>
      </c>
      <c r="S369" s="18" t="s">
        <v>30</v>
      </c>
      <c r="T369" s="18"/>
      <c r="U369" s="18" t="s">
        <v>145</v>
      </c>
      <c r="V369" s="18" t="s">
        <v>132</v>
      </c>
      <c r="W369" s="19">
        <v>38</v>
      </c>
      <c r="X369" s="18">
        <v>59</v>
      </c>
      <c r="Y369" s="19">
        <v>2242</v>
      </c>
      <c r="Z369" s="20">
        <v>226.44200000000001</v>
      </c>
    </row>
    <row r="370" spans="1:26" x14ac:dyDescent="0.25">
      <c r="A370" s="21">
        <v>1432</v>
      </c>
      <c r="B370" s="22">
        <v>41976</v>
      </c>
      <c r="C370" s="23">
        <v>3</v>
      </c>
      <c r="D370" s="23" t="s">
        <v>74</v>
      </c>
      <c r="E370" s="23" t="s">
        <v>75</v>
      </c>
      <c r="F370" s="23" t="s">
        <v>76</v>
      </c>
      <c r="G370" s="23" t="s">
        <v>77</v>
      </c>
      <c r="H370" s="23">
        <v>99999</v>
      </c>
      <c r="I370" s="23" t="s">
        <v>30</v>
      </c>
      <c r="J370" s="23" t="s">
        <v>31</v>
      </c>
      <c r="K370" s="23" t="s">
        <v>32</v>
      </c>
      <c r="L370" s="22"/>
      <c r="M370" s="23"/>
      <c r="N370" s="23" t="s">
        <v>78</v>
      </c>
      <c r="O370" s="23" t="s">
        <v>75</v>
      </c>
      <c r="P370" s="23" t="s">
        <v>76</v>
      </c>
      <c r="Q370" s="23" t="s">
        <v>77</v>
      </c>
      <c r="R370" s="23">
        <v>99999</v>
      </c>
      <c r="S370" s="23" t="s">
        <v>30</v>
      </c>
      <c r="T370" s="23"/>
      <c r="U370" s="23" t="s">
        <v>103</v>
      </c>
      <c r="V370" s="23" t="s">
        <v>37</v>
      </c>
      <c r="W370" s="24">
        <v>2.99</v>
      </c>
      <c r="X370" s="23">
        <v>24</v>
      </c>
      <c r="Y370" s="24">
        <v>71.760000000000005</v>
      </c>
      <c r="Z370" s="25">
        <v>7.1042400000000008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6DA1F-E71D-4192-84A4-3BCF2A73F699}">
  <dimension ref="A1"/>
  <sheetViews>
    <sheetView showGridLines="0" tabSelected="1" zoomScale="71" zoomScaleNormal="71" workbookViewId="0">
      <selection activeCell="P30" sqref="P30"/>
    </sheetView>
  </sheetViews>
  <sheetFormatPr defaultRowHeight="15" x14ac:dyDescent="0.25"/>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2D422-FBEE-496A-B469-D7958EA2BAC2}">
  <dimension ref="A1"/>
  <sheetViews>
    <sheetView showGridLines="0" zoomScale="82" zoomScaleNormal="82" workbookViewId="0">
      <selection activeCell="AR30" sqref="AR30"/>
    </sheetView>
  </sheetViews>
  <sheetFormatPr defaultRowHeight="15" x14ac:dyDescent="0.25"/>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42D4F-3A83-47C8-8A77-FCEC0B3991C4}">
  <dimension ref="A3:B9"/>
  <sheetViews>
    <sheetView workbookViewId="0">
      <selection activeCell="H24" sqref="H24"/>
    </sheetView>
  </sheetViews>
  <sheetFormatPr defaultRowHeight="15" x14ac:dyDescent="0.25"/>
  <cols>
    <col min="1" max="1" width="16.42578125" bestFit="1" customWidth="1"/>
    <col min="2" max="2" width="15.5703125" style="3" bestFit="1" customWidth="1"/>
  </cols>
  <sheetData>
    <row r="3" spans="1:2" x14ac:dyDescent="0.25">
      <c r="A3" s="1" t="s">
        <v>153</v>
      </c>
      <c r="B3" s="3" t="s">
        <v>155</v>
      </c>
    </row>
    <row r="4" spans="1:2" x14ac:dyDescent="0.25">
      <c r="A4" s="2" t="s">
        <v>60</v>
      </c>
      <c r="B4" s="3">
        <v>104252.33999999997</v>
      </c>
    </row>
    <row r="5" spans="1:2" x14ac:dyDescent="0.25">
      <c r="A5" s="2" t="s">
        <v>94</v>
      </c>
      <c r="B5" s="3">
        <v>93858.329999999987</v>
      </c>
    </row>
    <row r="6" spans="1:2" x14ac:dyDescent="0.25">
      <c r="A6" s="2" t="s">
        <v>44</v>
      </c>
      <c r="B6" s="3">
        <v>67180.5</v>
      </c>
    </row>
    <row r="7" spans="1:2" x14ac:dyDescent="0.25">
      <c r="A7" s="2" t="s">
        <v>31</v>
      </c>
      <c r="B7" s="3">
        <v>42370.880000000005</v>
      </c>
    </row>
    <row r="8" spans="1:2" x14ac:dyDescent="0.25">
      <c r="A8" s="2" t="s">
        <v>101</v>
      </c>
      <c r="B8" s="3">
        <v>41095.01</v>
      </c>
    </row>
    <row r="9" spans="1:2" x14ac:dyDescent="0.25">
      <c r="A9" s="2" t="s">
        <v>154</v>
      </c>
      <c r="B9" s="3">
        <v>348757.05999999994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98FD8-8CA7-4587-A2F5-61E398CDBF9C}">
  <dimension ref="A3:B8"/>
  <sheetViews>
    <sheetView workbookViewId="0">
      <selection activeCell="N11" sqref="N11"/>
    </sheetView>
  </sheetViews>
  <sheetFormatPr defaultRowHeight="15" x14ac:dyDescent="0.25"/>
  <cols>
    <col min="1" max="1" width="13.140625" style="7" bestFit="1" customWidth="1"/>
    <col min="2" max="2" width="15.5703125" style="8" bestFit="1" customWidth="1"/>
  </cols>
  <sheetData>
    <row r="3" spans="1:2" x14ac:dyDescent="0.25">
      <c r="A3" s="5" t="s">
        <v>153</v>
      </c>
      <c r="B3" s="8" t="s">
        <v>155</v>
      </c>
    </row>
    <row r="4" spans="1:2" x14ac:dyDescent="0.25">
      <c r="A4" s="6" t="s">
        <v>61</v>
      </c>
      <c r="B4" s="8">
        <v>141680.33999999997</v>
      </c>
    </row>
    <row r="5" spans="1:2" x14ac:dyDescent="0.25">
      <c r="A5" s="6" t="s">
        <v>45</v>
      </c>
      <c r="B5" s="8">
        <v>108275.51</v>
      </c>
    </row>
    <row r="6" spans="1:2" x14ac:dyDescent="0.25">
      <c r="A6" s="6" t="s">
        <v>95</v>
      </c>
      <c r="B6" s="8">
        <v>93858.329999999987</v>
      </c>
    </row>
    <row r="7" spans="1:2" x14ac:dyDescent="0.25">
      <c r="A7" s="6" t="s">
        <v>32</v>
      </c>
      <c r="B7" s="8">
        <v>91251.979999999981</v>
      </c>
    </row>
    <row r="8" spans="1:2" x14ac:dyDescent="0.25">
      <c r="A8" s="6" t="s">
        <v>154</v>
      </c>
      <c r="B8" s="8">
        <v>435066.15999999992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E7239-F285-4A62-BAF3-8F86A145A63E}">
  <dimension ref="A3:B14"/>
  <sheetViews>
    <sheetView workbookViewId="0">
      <selection activeCell="O11" sqref="O11"/>
    </sheetView>
  </sheetViews>
  <sheetFormatPr defaultRowHeight="15" x14ac:dyDescent="0.25"/>
  <cols>
    <col min="1" max="1" width="14" style="7" bestFit="1" customWidth="1"/>
    <col min="2" max="2" width="15.85546875" style="8" bestFit="1" customWidth="1"/>
    <col min="3" max="16384" width="9.140625" style="7"/>
  </cols>
  <sheetData>
    <row r="3" spans="1:2" x14ac:dyDescent="0.25">
      <c r="A3" s="5" t="s">
        <v>153</v>
      </c>
      <c r="B3" s="8" t="s">
        <v>155</v>
      </c>
    </row>
    <row r="4" spans="1:2" x14ac:dyDescent="0.25">
      <c r="A4" s="6" t="s">
        <v>40</v>
      </c>
      <c r="B4" s="8">
        <v>67180.5</v>
      </c>
    </row>
    <row r="5" spans="1:2" x14ac:dyDescent="0.25">
      <c r="A5" s="6" t="s">
        <v>56</v>
      </c>
      <c r="B5" s="8">
        <v>50208.35</v>
      </c>
    </row>
    <row r="6" spans="1:2" x14ac:dyDescent="0.25">
      <c r="A6" s="6" t="s">
        <v>90</v>
      </c>
      <c r="B6" s="8">
        <v>43713</v>
      </c>
    </row>
    <row r="7" spans="1:2" x14ac:dyDescent="0.25">
      <c r="A7" s="6" t="s">
        <v>82</v>
      </c>
      <c r="B7" s="8">
        <v>37428</v>
      </c>
    </row>
    <row r="8" spans="1:2" x14ac:dyDescent="0.25">
      <c r="A8" s="6" t="s">
        <v>118</v>
      </c>
      <c r="B8" s="8">
        <v>36839.990000000005</v>
      </c>
    </row>
    <row r="9" spans="1:2" x14ac:dyDescent="0.25">
      <c r="A9" s="6" t="s">
        <v>154</v>
      </c>
      <c r="B9" s="8">
        <v>235369.84</v>
      </c>
    </row>
    <row r="10" spans="1:2" x14ac:dyDescent="0.25">
      <c r="A10"/>
      <c r="B10" s="3"/>
    </row>
    <row r="11" spans="1:2" x14ac:dyDescent="0.25">
      <c r="A11"/>
      <c r="B11" s="3"/>
    </row>
    <row r="12" spans="1:2" x14ac:dyDescent="0.25">
      <c r="A12"/>
      <c r="B12" s="3"/>
    </row>
    <row r="13" spans="1:2" x14ac:dyDescent="0.25">
      <c r="A13"/>
      <c r="B13" s="3"/>
    </row>
    <row r="14" spans="1:2" x14ac:dyDescent="0.25">
      <c r="A14"/>
      <c r="B14" s="3"/>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366E3-9186-4C78-AB84-00AECE9EEC64}">
  <dimension ref="A3:B16"/>
  <sheetViews>
    <sheetView workbookViewId="0">
      <selection activeCell="AL60" sqref="AL60"/>
    </sheetView>
  </sheetViews>
  <sheetFormatPr defaultRowHeight="15" x14ac:dyDescent="0.25"/>
  <cols>
    <col min="1" max="1" width="13.140625" style="7" bestFit="1" customWidth="1"/>
    <col min="2" max="2" width="15.5703125" style="8" bestFit="1" customWidth="1"/>
    <col min="3" max="16384" width="9.140625" style="7"/>
  </cols>
  <sheetData>
    <row r="3" spans="1:2" x14ac:dyDescent="0.25">
      <c r="A3" s="5" t="s">
        <v>153</v>
      </c>
      <c r="B3" s="8" t="s">
        <v>155</v>
      </c>
    </row>
    <row r="4" spans="1:2" x14ac:dyDescent="0.25">
      <c r="A4" s="9" t="s">
        <v>156</v>
      </c>
      <c r="B4" s="8">
        <v>32907.839999999997</v>
      </c>
    </row>
    <row r="5" spans="1:2" x14ac:dyDescent="0.25">
      <c r="A5" s="9" t="s">
        <v>157</v>
      </c>
      <c r="B5" s="8">
        <v>19985.5</v>
      </c>
    </row>
    <row r="6" spans="1:2" x14ac:dyDescent="0.25">
      <c r="A6" s="9" t="s">
        <v>158</v>
      </c>
      <c r="B6" s="8">
        <v>30852.6</v>
      </c>
    </row>
    <row r="7" spans="1:2" x14ac:dyDescent="0.25">
      <c r="A7" s="9" t="s">
        <v>172</v>
      </c>
      <c r="B7" s="8">
        <v>20771.789999999997</v>
      </c>
    </row>
    <row r="8" spans="1:2" x14ac:dyDescent="0.25">
      <c r="A8" s="9" t="s">
        <v>159</v>
      </c>
      <c r="B8" s="8">
        <v>34307.049999999996</v>
      </c>
    </row>
    <row r="9" spans="1:2" x14ac:dyDescent="0.25">
      <c r="A9" s="9" t="s">
        <v>160</v>
      </c>
      <c r="B9" s="8">
        <v>55601.61</v>
      </c>
    </row>
    <row r="10" spans="1:2" x14ac:dyDescent="0.25">
      <c r="A10" s="9" t="s">
        <v>161</v>
      </c>
      <c r="B10" s="8">
        <v>27318.539999999997</v>
      </c>
    </row>
    <row r="11" spans="1:2" x14ac:dyDescent="0.25">
      <c r="A11" s="9" t="s">
        <v>162</v>
      </c>
      <c r="B11" s="8">
        <v>29921.459999999995</v>
      </c>
    </row>
    <row r="12" spans="1:2" x14ac:dyDescent="0.25">
      <c r="A12" s="9" t="s">
        <v>163</v>
      </c>
      <c r="B12" s="8">
        <v>31949.97</v>
      </c>
    </row>
    <row r="13" spans="1:2" x14ac:dyDescent="0.25">
      <c r="A13" s="9" t="s">
        <v>164</v>
      </c>
      <c r="B13" s="8">
        <v>53033.59</v>
      </c>
    </row>
    <row r="14" spans="1:2" x14ac:dyDescent="0.25">
      <c r="A14" s="9" t="s">
        <v>165</v>
      </c>
      <c r="B14" s="8">
        <v>31773.429999999997</v>
      </c>
    </row>
    <row r="15" spans="1:2" x14ac:dyDescent="0.25">
      <c r="A15" s="9" t="s">
        <v>166</v>
      </c>
      <c r="B15" s="8">
        <v>66642.78</v>
      </c>
    </row>
    <row r="16" spans="1:2" x14ac:dyDescent="0.25">
      <c r="A16" s="9" t="s">
        <v>154</v>
      </c>
      <c r="B16" s="8">
        <v>435066.15999999992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2A034-4041-4C62-9291-B026EED06A13}">
  <dimension ref="A3:B9"/>
  <sheetViews>
    <sheetView workbookViewId="0">
      <selection activeCell="M8" sqref="M8"/>
    </sheetView>
  </sheetViews>
  <sheetFormatPr defaultRowHeight="15" x14ac:dyDescent="0.25"/>
  <cols>
    <col min="1" max="1" width="17.28515625" style="7" bestFit="1" customWidth="1"/>
    <col min="2" max="2" width="15.85546875" style="8" bestFit="1" customWidth="1"/>
  </cols>
  <sheetData>
    <row r="3" spans="1:2" x14ac:dyDescent="0.25">
      <c r="A3" s="5" t="s">
        <v>153</v>
      </c>
      <c r="B3" s="8" t="s">
        <v>155</v>
      </c>
    </row>
    <row r="4" spans="1:2" x14ac:dyDescent="0.25">
      <c r="A4" s="6" t="s">
        <v>37</v>
      </c>
      <c r="B4" s="8">
        <v>110577.10999999999</v>
      </c>
    </row>
    <row r="5" spans="1:2" x14ac:dyDescent="0.25">
      <c r="A5" s="6" t="s">
        <v>89</v>
      </c>
      <c r="B5" s="8">
        <v>69000</v>
      </c>
    </row>
    <row r="6" spans="1:2" x14ac:dyDescent="0.25">
      <c r="A6" s="6" t="s">
        <v>110</v>
      </c>
      <c r="B6" s="8">
        <v>51541</v>
      </c>
    </row>
    <row r="7" spans="1:2" x14ac:dyDescent="0.25">
      <c r="A7" s="6" t="s">
        <v>134</v>
      </c>
      <c r="B7" s="8">
        <v>33129.600000000006</v>
      </c>
    </row>
    <row r="8" spans="1:2" x14ac:dyDescent="0.25">
      <c r="A8" s="6" t="s">
        <v>39</v>
      </c>
      <c r="B8" s="8">
        <v>27999.5</v>
      </c>
    </row>
    <row r="9" spans="1:2" x14ac:dyDescent="0.25">
      <c r="A9" s="6" t="s">
        <v>154</v>
      </c>
      <c r="B9" s="8">
        <v>292247.20999999996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2FF9F-BF89-436F-A7F7-90D59A45409E}">
  <dimension ref="A3:B319"/>
  <sheetViews>
    <sheetView workbookViewId="0">
      <selection activeCell="C6" sqref="C6"/>
    </sheetView>
  </sheetViews>
  <sheetFormatPr defaultRowHeight="15" x14ac:dyDescent="0.25"/>
  <cols>
    <col min="1" max="1" width="13.140625" style="7" bestFit="1" customWidth="1"/>
    <col min="2" max="2" width="17" style="8" bestFit="1" customWidth="1"/>
    <col min="3" max="16384" width="9.140625" style="7"/>
  </cols>
  <sheetData>
    <row r="3" spans="1:2" x14ac:dyDescent="0.25">
      <c r="A3" s="5" t="s">
        <v>153</v>
      </c>
      <c r="B3" s="7" t="s">
        <v>170</v>
      </c>
    </row>
    <row r="4" spans="1:2" x14ac:dyDescent="0.25">
      <c r="A4" s="10" t="s">
        <v>167</v>
      </c>
      <c r="B4" s="7">
        <v>218</v>
      </c>
    </row>
    <row r="5" spans="1:2" x14ac:dyDescent="0.25">
      <c r="A5" s="10" t="s">
        <v>168</v>
      </c>
      <c r="B5" s="7">
        <v>85</v>
      </c>
    </row>
    <row r="6" spans="1:2" x14ac:dyDescent="0.25">
      <c r="A6" s="10" t="s">
        <v>169</v>
      </c>
      <c r="B6" s="7">
        <v>31</v>
      </c>
    </row>
    <row r="7" spans="1:2" x14ac:dyDescent="0.25">
      <c r="A7" s="10" t="s">
        <v>171</v>
      </c>
      <c r="B7" s="7">
        <v>24</v>
      </c>
    </row>
    <row r="8" spans="1:2" x14ac:dyDescent="0.25">
      <c r="A8" s="10" t="s">
        <v>173</v>
      </c>
      <c r="B8" s="7">
        <v>8</v>
      </c>
    </row>
    <row r="9" spans="1:2" x14ac:dyDescent="0.25">
      <c r="A9" s="10" t="s">
        <v>174</v>
      </c>
      <c r="B9" s="7">
        <v>2</v>
      </c>
    </row>
    <row r="10" spans="1:2" x14ac:dyDescent="0.25">
      <c r="A10" s="10" t="s">
        <v>175</v>
      </c>
      <c r="B10" s="7">
        <v>1</v>
      </c>
    </row>
    <row r="11" spans="1:2" x14ac:dyDescent="0.25">
      <c r="A11" s="10" t="s">
        <v>154</v>
      </c>
      <c r="B11" s="7">
        <v>369</v>
      </c>
    </row>
    <row r="12" spans="1:2" x14ac:dyDescent="0.25">
      <c r="B12" s="7"/>
    </row>
    <row r="13" spans="1:2" x14ac:dyDescent="0.25">
      <c r="B13" s="7"/>
    </row>
    <row r="14" spans="1:2" x14ac:dyDescent="0.25">
      <c r="B14" s="7"/>
    </row>
    <row r="15" spans="1:2" x14ac:dyDescent="0.25">
      <c r="B15" s="7"/>
    </row>
    <row r="16" spans="1:2" x14ac:dyDescent="0.25">
      <c r="B16" s="7"/>
    </row>
    <row r="17" s="7" customFormat="1" x14ac:dyDescent="0.25"/>
    <row r="18" s="7" customFormat="1" x14ac:dyDescent="0.25"/>
    <row r="19" s="7" customFormat="1" x14ac:dyDescent="0.25"/>
    <row r="20" s="7" customFormat="1" x14ac:dyDescent="0.25"/>
    <row r="21" s="7" customFormat="1" x14ac:dyDescent="0.25"/>
    <row r="22" s="7" customFormat="1" x14ac:dyDescent="0.25"/>
    <row r="23" s="7" customFormat="1" x14ac:dyDescent="0.25"/>
    <row r="24" s="7" customFormat="1" x14ac:dyDescent="0.25"/>
    <row r="25" s="7" customFormat="1" x14ac:dyDescent="0.25"/>
    <row r="26" s="7" customFormat="1" x14ac:dyDescent="0.25"/>
    <row r="27" s="7" customFormat="1" x14ac:dyDescent="0.25"/>
    <row r="28" s="7" customFormat="1" x14ac:dyDescent="0.25"/>
    <row r="29" s="7" customFormat="1" x14ac:dyDescent="0.25"/>
    <row r="30" s="7" customFormat="1" x14ac:dyDescent="0.25"/>
    <row r="31" s="7" customFormat="1" x14ac:dyDescent="0.25"/>
    <row r="32" s="7" customFormat="1" x14ac:dyDescent="0.25"/>
    <row r="33" s="7" customFormat="1" x14ac:dyDescent="0.25"/>
    <row r="34" s="7" customFormat="1" x14ac:dyDescent="0.25"/>
    <row r="35" s="7" customFormat="1" x14ac:dyDescent="0.25"/>
    <row r="36" s="7" customFormat="1" x14ac:dyDescent="0.25"/>
    <row r="37" s="7" customFormat="1" x14ac:dyDescent="0.25"/>
    <row r="38" s="7" customFormat="1" x14ac:dyDescent="0.25"/>
    <row r="39" s="7" customFormat="1" x14ac:dyDescent="0.25"/>
    <row r="40" s="7" customFormat="1" x14ac:dyDescent="0.25"/>
    <row r="41" s="7" customFormat="1" x14ac:dyDescent="0.25"/>
    <row r="42" s="7" customFormat="1" x14ac:dyDescent="0.25"/>
    <row r="43" s="7" customFormat="1" x14ac:dyDescent="0.25"/>
    <row r="44" s="7" customFormat="1" x14ac:dyDescent="0.25"/>
    <row r="45" s="7" customFormat="1" x14ac:dyDescent="0.25"/>
    <row r="46" s="7" customFormat="1" x14ac:dyDescent="0.25"/>
    <row r="47" s="7" customFormat="1" x14ac:dyDescent="0.25"/>
    <row r="48" s="7" customFormat="1" x14ac:dyDescent="0.25"/>
    <row r="49" s="7" customFormat="1" x14ac:dyDescent="0.25"/>
    <row r="50" s="7" customFormat="1" x14ac:dyDescent="0.25"/>
    <row r="51" s="7" customFormat="1" x14ac:dyDescent="0.25"/>
    <row r="52" s="7" customFormat="1" x14ac:dyDescent="0.25"/>
    <row r="53" s="7" customFormat="1" x14ac:dyDescent="0.25"/>
    <row r="54" s="7" customFormat="1" x14ac:dyDescent="0.25"/>
    <row r="55" s="7" customFormat="1" x14ac:dyDescent="0.25"/>
    <row r="56" s="7" customFormat="1" x14ac:dyDescent="0.25"/>
    <row r="57" s="7" customFormat="1" x14ac:dyDescent="0.25"/>
    <row r="58" s="7" customFormat="1" x14ac:dyDescent="0.25"/>
    <row r="59" s="7" customFormat="1" x14ac:dyDescent="0.25"/>
    <row r="60" s="7" customFormat="1" x14ac:dyDescent="0.25"/>
    <row r="61" s="7" customFormat="1" x14ac:dyDescent="0.25"/>
    <row r="62" s="7" customFormat="1" x14ac:dyDescent="0.25"/>
    <row r="63" s="7" customFormat="1" x14ac:dyDescent="0.25"/>
    <row r="64" s="7" customFormat="1" x14ac:dyDescent="0.25"/>
    <row r="65" s="7" customFormat="1" x14ac:dyDescent="0.25"/>
    <row r="66" s="7" customFormat="1" x14ac:dyDescent="0.25"/>
    <row r="67" s="7" customFormat="1" x14ac:dyDescent="0.25"/>
    <row r="68" s="7" customFormat="1" x14ac:dyDescent="0.25"/>
    <row r="69" s="7" customFormat="1" x14ac:dyDescent="0.25"/>
    <row r="70" s="7" customFormat="1" x14ac:dyDescent="0.25"/>
    <row r="71" s="7" customFormat="1" x14ac:dyDescent="0.25"/>
    <row r="72" s="7" customFormat="1" x14ac:dyDescent="0.25"/>
    <row r="73" s="7" customFormat="1" x14ac:dyDescent="0.25"/>
    <row r="74" s="7" customFormat="1" x14ac:dyDescent="0.25"/>
    <row r="75" s="7" customFormat="1" x14ac:dyDescent="0.25"/>
    <row r="76" s="7" customFormat="1" x14ac:dyDescent="0.25"/>
    <row r="77" s="7" customFormat="1" x14ac:dyDescent="0.25"/>
    <row r="78" s="7" customFormat="1" x14ac:dyDescent="0.25"/>
    <row r="79" s="7" customFormat="1" x14ac:dyDescent="0.25"/>
    <row r="80" s="7" customFormat="1" x14ac:dyDescent="0.25"/>
    <row r="81" s="7" customFormat="1" x14ac:dyDescent="0.25"/>
    <row r="82" s="7" customFormat="1" x14ac:dyDescent="0.25"/>
    <row r="83" s="7" customFormat="1" x14ac:dyDescent="0.25"/>
    <row r="84" s="7" customFormat="1" x14ac:dyDescent="0.25"/>
    <row r="85" s="7" customFormat="1" x14ac:dyDescent="0.25"/>
    <row r="86" s="7" customFormat="1" x14ac:dyDescent="0.25"/>
    <row r="87" s="7" customFormat="1" x14ac:dyDescent="0.25"/>
    <row r="88" s="7" customFormat="1" x14ac:dyDescent="0.25"/>
    <row r="89" s="7" customFormat="1" x14ac:dyDescent="0.25"/>
    <row r="90" s="7" customFormat="1" x14ac:dyDescent="0.25"/>
    <row r="91" s="7" customFormat="1" x14ac:dyDescent="0.25"/>
    <row r="92" s="7" customFormat="1" x14ac:dyDescent="0.25"/>
    <row r="93" s="7" customFormat="1" x14ac:dyDescent="0.25"/>
    <row r="94" s="7" customFormat="1" x14ac:dyDescent="0.25"/>
    <row r="95" s="7" customFormat="1" x14ac:dyDescent="0.25"/>
    <row r="96" s="7" customFormat="1" x14ac:dyDescent="0.25"/>
    <row r="97" s="7" customFormat="1" x14ac:dyDescent="0.25"/>
    <row r="98" s="7" customFormat="1" x14ac:dyDescent="0.25"/>
    <row r="99" s="7" customFormat="1" x14ac:dyDescent="0.25"/>
    <row r="100" s="7" customFormat="1" x14ac:dyDescent="0.25"/>
    <row r="101" s="7" customFormat="1" x14ac:dyDescent="0.25"/>
    <row r="102" s="7" customFormat="1" x14ac:dyDescent="0.25"/>
    <row r="103" s="7" customFormat="1" x14ac:dyDescent="0.25"/>
    <row r="104" s="7" customFormat="1" x14ac:dyDescent="0.25"/>
    <row r="105" s="7" customFormat="1" x14ac:dyDescent="0.25"/>
    <row r="106" s="7" customFormat="1" x14ac:dyDescent="0.25"/>
    <row r="107" s="7" customFormat="1" x14ac:dyDescent="0.25"/>
    <row r="108" s="7" customFormat="1" x14ac:dyDescent="0.25"/>
    <row r="109" s="7" customFormat="1" x14ac:dyDescent="0.25"/>
    <row r="110" s="7" customFormat="1" x14ac:dyDescent="0.25"/>
    <row r="111" s="7" customFormat="1" x14ac:dyDescent="0.25"/>
    <row r="112" s="7" customFormat="1" x14ac:dyDescent="0.25"/>
    <row r="113" s="7" customFormat="1" x14ac:dyDescent="0.25"/>
    <row r="114" s="7" customFormat="1" x14ac:dyDescent="0.25"/>
    <row r="115" s="7" customFormat="1" x14ac:dyDescent="0.25"/>
    <row r="116" s="7" customFormat="1" x14ac:dyDescent="0.25"/>
    <row r="117" s="7" customFormat="1" x14ac:dyDescent="0.25"/>
    <row r="118" s="7" customFormat="1" x14ac:dyDescent="0.25"/>
    <row r="119" s="7" customFormat="1" x14ac:dyDescent="0.25"/>
    <row r="120" s="7" customFormat="1" x14ac:dyDescent="0.25"/>
    <row r="121" s="7" customFormat="1" x14ac:dyDescent="0.25"/>
    <row r="122" s="7" customFormat="1" x14ac:dyDescent="0.25"/>
    <row r="123" s="7" customFormat="1" x14ac:dyDescent="0.25"/>
    <row r="124" s="7" customFormat="1" x14ac:dyDescent="0.25"/>
    <row r="125" s="7" customFormat="1" x14ac:dyDescent="0.25"/>
    <row r="126" s="7" customFormat="1" x14ac:dyDescent="0.25"/>
    <row r="127" s="7" customFormat="1" x14ac:dyDescent="0.25"/>
    <row r="128" s="7" customFormat="1" x14ac:dyDescent="0.25"/>
    <row r="129" s="7" customFormat="1" x14ac:dyDescent="0.25"/>
    <row r="130" s="7" customFormat="1" x14ac:dyDescent="0.25"/>
    <row r="131" s="7" customFormat="1" x14ac:dyDescent="0.25"/>
    <row r="132" s="7" customFormat="1" x14ac:dyDescent="0.25"/>
    <row r="133" s="7" customFormat="1" x14ac:dyDescent="0.25"/>
    <row r="134" s="7" customFormat="1" x14ac:dyDescent="0.25"/>
    <row r="135" s="7" customFormat="1" x14ac:dyDescent="0.25"/>
    <row r="136" s="7" customFormat="1" x14ac:dyDescent="0.25"/>
    <row r="137" s="7" customFormat="1" x14ac:dyDescent="0.25"/>
    <row r="138" s="7" customFormat="1" x14ac:dyDescent="0.25"/>
    <row r="139" s="7" customFormat="1" x14ac:dyDescent="0.25"/>
    <row r="140" s="7" customFormat="1" x14ac:dyDescent="0.25"/>
    <row r="141" s="7" customFormat="1" x14ac:dyDescent="0.25"/>
    <row r="142" s="7" customFormat="1" x14ac:dyDescent="0.25"/>
    <row r="143" s="7" customFormat="1" x14ac:dyDescent="0.25"/>
    <row r="144" s="7" customFormat="1" x14ac:dyDescent="0.25"/>
    <row r="145" s="7" customFormat="1" x14ac:dyDescent="0.25"/>
    <row r="146" s="7" customFormat="1" x14ac:dyDescent="0.25"/>
    <row r="147" s="7" customFormat="1" x14ac:dyDescent="0.25"/>
    <row r="148" s="7" customFormat="1" x14ac:dyDescent="0.25"/>
    <row r="149" s="7" customFormat="1" x14ac:dyDescent="0.25"/>
    <row r="150" s="7" customFormat="1" x14ac:dyDescent="0.25"/>
    <row r="151" s="7" customFormat="1" x14ac:dyDescent="0.25"/>
    <row r="152" s="7" customFormat="1" x14ac:dyDescent="0.25"/>
    <row r="153" s="7" customFormat="1" x14ac:dyDescent="0.25"/>
    <row r="154" s="7" customFormat="1" x14ac:dyDescent="0.25"/>
    <row r="155" s="7" customFormat="1" x14ac:dyDescent="0.25"/>
    <row r="156" s="7" customFormat="1" x14ac:dyDescent="0.25"/>
    <row r="157" s="7" customFormat="1" x14ac:dyDescent="0.25"/>
    <row r="158" s="7" customFormat="1" x14ac:dyDescent="0.25"/>
    <row r="159" s="7" customFormat="1" x14ac:dyDescent="0.25"/>
    <row r="160" s="7" customFormat="1" x14ac:dyDescent="0.25"/>
    <row r="161" s="7" customFormat="1" x14ac:dyDescent="0.25"/>
    <row r="162" s="7" customFormat="1" x14ac:dyDescent="0.25"/>
    <row r="163" s="7" customFormat="1" x14ac:dyDescent="0.25"/>
    <row r="164" s="7" customFormat="1" x14ac:dyDescent="0.25"/>
    <row r="165" s="7" customFormat="1" x14ac:dyDescent="0.25"/>
    <row r="166" s="7" customFormat="1" x14ac:dyDescent="0.25"/>
    <row r="167" s="7" customFormat="1" x14ac:dyDescent="0.25"/>
    <row r="168" s="7" customFormat="1" x14ac:dyDescent="0.25"/>
    <row r="169" s="7" customFormat="1" x14ac:dyDescent="0.25"/>
    <row r="170" s="7" customFormat="1" x14ac:dyDescent="0.25"/>
    <row r="171" s="7" customFormat="1" x14ac:dyDescent="0.25"/>
    <row r="172" s="7" customFormat="1" x14ac:dyDescent="0.25"/>
    <row r="173" s="7" customFormat="1" x14ac:dyDescent="0.25"/>
    <row r="174" s="7" customFormat="1" x14ac:dyDescent="0.25"/>
    <row r="175" s="7" customFormat="1" x14ac:dyDescent="0.25"/>
    <row r="176" s="7" customFormat="1" x14ac:dyDescent="0.25"/>
    <row r="177" s="7" customFormat="1" x14ac:dyDescent="0.25"/>
    <row r="178" s="7" customFormat="1" x14ac:dyDescent="0.25"/>
    <row r="179" s="7" customFormat="1" x14ac:dyDescent="0.25"/>
    <row r="180" s="7" customFormat="1" x14ac:dyDescent="0.25"/>
    <row r="181" s="7" customFormat="1" x14ac:dyDescent="0.25"/>
    <row r="182" s="7" customFormat="1" x14ac:dyDescent="0.25"/>
    <row r="183" s="7" customFormat="1" x14ac:dyDescent="0.25"/>
    <row r="184" s="7" customFormat="1" x14ac:dyDescent="0.25"/>
    <row r="185" s="7" customFormat="1" x14ac:dyDescent="0.25"/>
    <row r="186" s="7" customFormat="1" x14ac:dyDescent="0.25"/>
    <row r="187" s="7" customFormat="1" x14ac:dyDescent="0.25"/>
    <row r="188" s="7" customFormat="1" x14ac:dyDescent="0.25"/>
    <row r="189" s="7" customFormat="1" x14ac:dyDescent="0.25"/>
    <row r="190" s="7" customFormat="1" x14ac:dyDescent="0.25"/>
    <row r="191" s="7" customFormat="1" x14ac:dyDescent="0.25"/>
    <row r="192" s="7" customFormat="1" x14ac:dyDescent="0.25"/>
    <row r="193" s="7" customFormat="1" x14ac:dyDescent="0.25"/>
    <row r="194" s="7" customFormat="1" x14ac:dyDescent="0.25"/>
    <row r="195" s="7" customFormat="1" x14ac:dyDescent="0.25"/>
    <row r="196" s="7" customFormat="1" x14ac:dyDescent="0.25"/>
    <row r="197" s="7" customFormat="1" x14ac:dyDescent="0.25"/>
    <row r="198" s="7" customFormat="1" x14ac:dyDescent="0.25"/>
    <row r="199" s="7" customFormat="1" x14ac:dyDescent="0.25"/>
    <row r="200" s="7" customFormat="1" x14ac:dyDescent="0.25"/>
    <row r="201" s="7" customFormat="1" x14ac:dyDescent="0.25"/>
    <row r="202" s="7" customFormat="1" x14ac:dyDescent="0.25"/>
    <row r="203" s="7" customFormat="1" x14ac:dyDescent="0.25"/>
    <row r="204" s="7" customFormat="1" x14ac:dyDescent="0.25"/>
    <row r="205" s="7" customFormat="1" x14ac:dyDescent="0.25"/>
    <row r="206" s="7" customFormat="1" x14ac:dyDescent="0.25"/>
    <row r="207" s="7" customFormat="1" x14ac:dyDescent="0.25"/>
    <row r="208" s="7" customFormat="1" x14ac:dyDescent="0.25"/>
    <row r="209" s="7" customFormat="1" x14ac:dyDescent="0.25"/>
    <row r="210" s="7" customFormat="1" x14ac:dyDescent="0.25"/>
    <row r="211" s="7" customFormat="1" x14ac:dyDescent="0.25"/>
    <row r="212" s="7" customFormat="1" x14ac:dyDescent="0.25"/>
    <row r="213" s="7" customFormat="1" x14ac:dyDescent="0.25"/>
    <row r="214" s="7" customFormat="1" x14ac:dyDescent="0.25"/>
    <row r="215" s="7" customFormat="1" x14ac:dyDescent="0.25"/>
    <row r="216" s="7" customFormat="1" x14ac:dyDescent="0.25"/>
    <row r="217" s="7" customFormat="1" x14ac:dyDescent="0.25"/>
    <row r="218" s="7" customFormat="1" x14ac:dyDescent="0.25"/>
    <row r="219" s="7" customFormat="1" x14ac:dyDescent="0.25"/>
    <row r="220" s="7" customFormat="1" x14ac:dyDescent="0.25"/>
    <row r="221" s="7" customFormat="1" x14ac:dyDescent="0.25"/>
    <row r="222" s="7" customFormat="1" x14ac:dyDescent="0.25"/>
    <row r="223" s="7" customFormat="1" x14ac:dyDescent="0.25"/>
    <row r="224" s="7" customFormat="1" x14ac:dyDescent="0.25"/>
    <row r="225" s="7" customFormat="1" x14ac:dyDescent="0.25"/>
    <row r="226" s="7" customFormat="1" x14ac:dyDescent="0.25"/>
    <row r="227" s="7" customFormat="1" x14ac:dyDescent="0.25"/>
    <row r="228" s="7" customFormat="1" x14ac:dyDescent="0.25"/>
    <row r="229" s="7" customFormat="1" x14ac:dyDescent="0.25"/>
    <row r="230" s="7" customFormat="1" x14ac:dyDescent="0.25"/>
    <row r="231" s="7" customFormat="1" x14ac:dyDescent="0.25"/>
    <row r="232" s="7" customFormat="1" x14ac:dyDescent="0.25"/>
    <row r="233" s="7" customFormat="1" x14ac:dyDescent="0.25"/>
    <row r="234" s="7" customFormat="1" x14ac:dyDescent="0.25"/>
    <row r="235" s="7" customFormat="1" x14ac:dyDescent="0.25"/>
    <row r="236" s="7" customFormat="1" x14ac:dyDescent="0.25"/>
    <row r="237" s="7" customFormat="1" x14ac:dyDescent="0.25"/>
    <row r="238" s="7" customFormat="1" x14ac:dyDescent="0.25"/>
    <row r="239" s="7" customFormat="1" x14ac:dyDescent="0.25"/>
    <row r="240" s="7" customFormat="1" x14ac:dyDescent="0.25"/>
    <row r="241" s="7" customFormat="1" x14ac:dyDescent="0.25"/>
    <row r="242" s="7" customFormat="1" x14ac:dyDescent="0.25"/>
    <row r="243" s="7" customFormat="1" x14ac:dyDescent="0.25"/>
    <row r="244" s="7" customFormat="1" x14ac:dyDescent="0.25"/>
    <row r="245" s="7" customFormat="1" x14ac:dyDescent="0.25"/>
    <row r="246" s="7" customFormat="1" x14ac:dyDescent="0.25"/>
    <row r="247" s="7" customFormat="1" x14ac:dyDescent="0.25"/>
    <row r="248" s="7" customFormat="1" x14ac:dyDescent="0.25"/>
    <row r="249" s="7" customFormat="1" x14ac:dyDescent="0.25"/>
    <row r="250" s="7" customFormat="1" x14ac:dyDescent="0.25"/>
    <row r="251" s="7" customFormat="1" x14ac:dyDescent="0.25"/>
    <row r="252" s="7" customFormat="1" x14ac:dyDescent="0.25"/>
    <row r="253" s="7" customFormat="1" x14ac:dyDescent="0.25"/>
    <row r="254" s="7" customFormat="1" x14ac:dyDescent="0.25"/>
    <row r="255" s="7" customFormat="1" x14ac:dyDescent="0.25"/>
    <row r="256" s="7" customFormat="1" x14ac:dyDescent="0.25"/>
    <row r="257" s="7" customFormat="1" x14ac:dyDescent="0.25"/>
    <row r="258" s="7" customFormat="1" x14ac:dyDescent="0.25"/>
    <row r="259" s="7" customFormat="1" x14ac:dyDescent="0.25"/>
    <row r="260" s="7" customFormat="1" x14ac:dyDescent="0.25"/>
    <row r="261" s="7" customFormat="1" x14ac:dyDescent="0.25"/>
    <row r="262" s="7" customFormat="1" x14ac:dyDescent="0.25"/>
    <row r="263" s="7" customFormat="1" x14ac:dyDescent="0.25"/>
    <row r="264" s="7" customFormat="1" x14ac:dyDescent="0.25"/>
    <row r="265" s="7" customFormat="1" x14ac:dyDescent="0.25"/>
    <row r="266" s="7" customFormat="1" x14ac:dyDescent="0.25"/>
    <row r="267" s="7" customFormat="1" x14ac:dyDescent="0.25"/>
    <row r="268" s="7" customFormat="1" x14ac:dyDescent="0.25"/>
    <row r="269" s="7" customFormat="1" x14ac:dyDescent="0.25"/>
    <row r="270" s="7" customFormat="1" x14ac:dyDescent="0.25"/>
    <row r="271" s="7" customFormat="1" x14ac:dyDescent="0.25"/>
    <row r="272" s="7" customFormat="1" x14ac:dyDescent="0.25"/>
    <row r="273" s="7" customFormat="1" x14ac:dyDescent="0.25"/>
    <row r="274" s="7" customFormat="1" x14ac:dyDescent="0.25"/>
    <row r="275" s="7" customFormat="1" x14ac:dyDescent="0.25"/>
    <row r="276" s="7" customFormat="1" x14ac:dyDescent="0.25"/>
    <row r="277" s="7" customFormat="1" x14ac:dyDescent="0.25"/>
    <row r="278" s="7" customFormat="1" x14ac:dyDescent="0.25"/>
    <row r="279" s="7" customFormat="1" x14ac:dyDescent="0.25"/>
    <row r="280" s="7" customFormat="1" x14ac:dyDescent="0.25"/>
    <row r="281" s="7" customFormat="1" x14ac:dyDescent="0.25"/>
    <row r="282" s="7" customFormat="1" x14ac:dyDescent="0.25"/>
    <row r="283" s="7" customFormat="1" x14ac:dyDescent="0.25"/>
    <row r="284" s="7" customFormat="1" x14ac:dyDescent="0.25"/>
    <row r="285" s="7" customFormat="1" x14ac:dyDescent="0.25"/>
    <row r="286" s="7" customFormat="1" x14ac:dyDescent="0.25"/>
    <row r="287" s="7" customFormat="1" x14ac:dyDescent="0.25"/>
    <row r="288" s="7" customFormat="1" x14ac:dyDescent="0.25"/>
    <row r="289" s="7" customFormat="1" x14ac:dyDescent="0.25"/>
    <row r="290" s="7" customFormat="1" x14ac:dyDescent="0.25"/>
    <row r="291" s="7" customFormat="1" x14ac:dyDescent="0.25"/>
    <row r="292" s="7" customFormat="1" x14ac:dyDescent="0.25"/>
    <row r="293" s="7" customFormat="1" x14ac:dyDescent="0.25"/>
    <row r="294" s="7" customFormat="1" x14ac:dyDescent="0.25"/>
    <row r="295" s="7" customFormat="1" x14ac:dyDescent="0.25"/>
    <row r="296" s="7" customFormat="1" x14ac:dyDescent="0.25"/>
    <row r="297" s="7" customFormat="1" x14ac:dyDescent="0.25"/>
    <row r="298" s="7" customFormat="1" x14ac:dyDescent="0.25"/>
    <row r="299" s="7" customFormat="1" x14ac:dyDescent="0.25"/>
    <row r="300" s="7" customFormat="1" x14ac:dyDescent="0.25"/>
    <row r="301" s="7" customFormat="1" x14ac:dyDescent="0.25"/>
    <row r="302" s="7" customFormat="1" x14ac:dyDescent="0.25"/>
    <row r="303" s="7" customFormat="1" x14ac:dyDescent="0.25"/>
    <row r="304" s="7" customFormat="1" x14ac:dyDescent="0.25"/>
    <row r="305" s="7" customFormat="1" x14ac:dyDescent="0.25"/>
    <row r="306" s="7" customFormat="1" x14ac:dyDescent="0.25"/>
    <row r="307" s="7" customFormat="1" x14ac:dyDescent="0.25"/>
    <row r="308" s="7" customFormat="1" x14ac:dyDescent="0.25"/>
    <row r="309" s="7" customFormat="1" x14ac:dyDescent="0.25"/>
    <row r="310" s="7" customFormat="1" x14ac:dyDescent="0.25"/>
    <row r="311" s="7" customFormat="1" x14ac:dyDescent="0.25"/>
    <row r="312" s="7" customFormat="1" x14ac:dyDescent="0.25"/>
    <row r="313" s="7" customFormat="1" x14ac:dyDescent="0.25"/>
    <row r="314" s="7" customFormat="1" x14ac:dyDescent="0.25"/>
    <row r="315" s="7" customFormat="1" x14ac:dyDescent="0.25"/>
    <row r="316" s="7" customFormat="1" x14ac:dyDescent="0.25"/>
    <row r="317" s="7" customFormat="1" x14ac:dyDescent="0.25"/>
    <row r="318" s="7" customFormat="1" x14ac:dyDescent="0.25"/>
    <row r="319" s="7" customFormat="1" x14ac:dyDescent="0.25"/>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EB91B-2EA6-4ACD-A448-21A412EF0B54}">
  <dimension ref="A3:B30"/>
  <sheetViews>
    <sheetView zoomScale="70" zoomScaleNormal="70" workbookViewId="0">
      <selection activeCell="E28" sqref="E28"/>
    </sheetView>
  </sheetViews>
  <sheetFormatPr defaultRowHeight="15.75" x14ac:dyDescent="0.25"/>
  <cols>
    <col min="1" max="1" width="13.140625" style="13" bestFit="1" customWidth="1"/>
    <col min="2" max="2" width="22.140625" style="13" bestFit="1" customWidth="1"/>
    <col min="3" max="3" width="6.28515625" style="13" customWidth="1"/>
    <col min="4" max="4" width="9.140625" style="13"/>
    <col min="5" max="5" width="13.7109375" style="13" bestFit="1" customWidth="1"/>
    <col min="6" max="16384" width="9.140625" style="13"/>
  </cols>
  <sheetData>
    <row r="3" spans="1:2" x14ac:dyDescent="0.25">
      <c r="A3" s="11" t="s">
        <v>153</v>
      </c>
      <c r="B3" s="12" t="s">
        <v>155</v>
      </c>
    </row>
    <row r="4" spans="1:2" x14ac:dyDescent="0.25">
      <c r="A4" s="14" t="s">
        <v>43</v>
      </c>
      <c r="B4" s="12">
        <v>67180.5</v>
      </c>
    </row>
    <row r="5" spans="1:2" x14ac:dyDescent="0.25">
      <c r="A5" s="14" t="s">
        <v>59</v>
      </c>
      <c r="B5" s="12">
        <v>50208.35</v>
      </c>
    </row>
    <row r="6" spans="1:2" x14ac:dyDescent="0.25">
      <c r="A6" s="14" t="s">
        <v>116</v>
      </c>
      <c r="B6" s="12">
        <v>50145.330000000009</v>
      </c>
    </row>
    <row r="7" spans="1:2" x14ac:dyDescent="0.25">
      <c r="A7" s="14" t="s">
        <v>93</v>
      </c>
      <c r="B7" s="12">
        <v>43713</v>
      </c>
    </row>
    <row r="8" spans="1:2" x14ac:dyDescent="0.25">
      <c r="A8" s="14" t="s">
        <v>100</v>
      </c>
      <c r="B8" s="12">
        <v>41095.01</v>
      </c>
    </row>
    <row r="9" spans="1:2" x14ac:dyDescent="0.25">
      <c r="A9" s="14" t="s">
        <v>85</v>
      </c>
      <c r="B9" s="12">
        <v>37428</v>
      </c>
    </row>
    <row r="10" spans="1:2" x14ac:dyDescent="0.25">
      <c r="A10" s="14" t="s">
        <v>121</v>
      </c>
      <c r="B10" s="12">
        <v>36839.990000000005</v>
      </c>
    </row>
    <row r="11" spans="1:2" x14ac:dyDescent="0.25">
      <c r="A11" s="14" t="s">
        <v>128</v>
      </c>
      <c r="B11" s="12">
        <v>32530.6</v>
      </c>
    </row>
    <row r="12" spans="1:2" x14ac:dyDescent="0.25">
      <c r="A12" s="14" t="s">
        <v>77</v>
      </c>
      <c r="B12" s="12">
        <v>27005.38</v>
      </c>
    </row>
    <row r="13" spans="1:2" x14ac:dyDescent="0.25">
      <c r="A13" s="14" t="s">
        <v>107</v>
      </c>
      <c r="B13" s="12">
        <v>17204</v>
      </c>
    </row>
    <row r="14" spans="1:2" x14ac:dyDescent="0.25">
      <c r="A14" s="14" t="s">
        <v>69</v>
      </c>
      <c r="B14" s="12">
        <v>16350.5</v>
      </c>
    </row>
    <row r="15" spans="1:2" x14ac:dyDescent="0.25">
      <c r="A15" s="14" t="s">
        <v>29</v>
      </c>
      <c r="B15" s="12">
        <v>15365.5</v>
      </c>
    </row>
    <row r="16" spans="1:2" x14ac:dyDescent="0.25">
      <c r="A16" s="14" t="s">
        <v>154</v>
      </c>
      <c r="B16" s="12">
        <v>435066.16</v>
      </c>
    </row>
    <row r="18" spans="1:2" x14ac:dyDescent="0.25">
      <c r="A18" s="15" t="s">
        <v>6</v>
      </c>
      <c r="B18" s="15" t="s">
        <v>24</v>
      </c>
    </row>
    <row r="19" spans="1:2" x14ac:dyDescent="0.25">
      <c r="A19" s="14" t="s">
        <v>43</v>
      </c>
      <c r="B19" s="12">
        <v>67180.5</v>
      </c>
    </row>
    <row r="20" spans="1:2" x14ac:dyDescent="0.25">
      <c r="A20" s="14" t="s">
        <v>59</v>
      </c>
      <c r="B20" s="12">
        <v>50208.35</v>
      </c>
    </row>
    <row r="21" spans="1:2" x14ac:dyDescent="0.25">
      <c r="A21" s="14" t="s">
        <v>116</v>
      </c>
      <c r="B21" s="12">
        <v>50145.330000000009</v>
      </c>
    </row>
    <row r="22" spans="1:2" x14ac:dyDescent="0.25">
      <c r="A22" s="14" t="s">
        <v>93</v>
      </c>
      <c r="B22" s="12">
        <v>43713</v>
      </c>
    </row>
    <row r="23" spans="1:2" x14ac:dyDescent="0.25">
      <c r="A23" s="14" t="s">
        <v>100</v>
      </c>
      <c r="B23" s="12">
        <v>41095.01</v>
      </c>
    </row>
    <row r="24" spans="1:2" x14ac:dyDescent="0.25">
      <c r="A24" s="14" t="s">
        <v>85</v>
      </c>
      <c r="B24" s="12">
        <v>37428</v>
      </c>
    </row>
    <row r="25" spans="1:2" x14ac:dyDescent="0.25">
      <c r="A25" s="14" t="s">
        <v>121</v>
      </c>
      <c r="B25" s="12">
        <v>36839.990000000005</v>
      </c>
    </row>
    <row r="26" spans="1:2" x14ac:dyDescent="0.25">
      <c r="A26" s="14" t="s">
        <v>128</v>
      </c>
      <c r="B26" s="12">
        <v>32530.6</v>
      </c>
    </row>
    <row r="27" spans="1:2" x14ac:dyDescent="0.25">
      <c r="A27" s="14" t="s">
        <v>77</v>
      </c>
      <c r="B27" s="12">
        <v>27005.38</v>
      </c>
    </row>
    <row r="28" spans="1:2" x14ac:dyDescent="0.25">
      <c r="A28" s="14" t="s">
        <v>107</v>
      </c>
      <c r="B28" s="12">
        <v>17204</v>
      </c>
    </row>
    <row r="29" spans="1:2" x14ac:dyDescent="0.25">
      <c r="A29" s="14" t="s">
        <v>69</v>
      </c>
      <c r="B29" s="12">
        <v>16350.5</v>
      </c>
    </row>
    <row r="30" spans="1:2" x14ac:dyDescent="0.25">
      <c r="A30" s="14" t="s">
        <v>29</v>
      </c>
      <c r="B30" s="12">
        <v>15365.5</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8F3D6-75FF-424B-943C-D3740C4DDA7C}">
  <dimension ref="A3:E15"/>
  <sheetViews>
    <sheetView workbookViewId="0">
      <selection activeCell="N12" sqref="N12"/>
    </sheetView>
  </sheetViews>
  <sheetFormatPr defaultRowHeight="15" x14ac:dyDescent="0.25"/>
  <cols>
    <col min="1" max="1" width="13.140625" style="7" bestFit="1" customWidth="1"/>
    <col min="2" max="2" width="15.5703125" style="8" bestFit="1" customWidth="1"/>
    <col min="3" max="3" width="4.5703125" style="7" customWidth="1"/>
    <col min="4" max="4" width="9.140625" style="7"/>
    <col min="5" max="5" width="11.5703125" style="8" bestFit="1" customWidth="1"/>
    <col min="6" max="16384" width="9.140625" style="7"/>
  </cols>
  <sheetData>
    <row r="3" spans="1:5" x14ac:dyDescent="0.25">
      <c r="A3" s="5" t="s">
        <v>153</v>
      </c>
      <c r="B3" s="8" t="s">
        <v>155</v>
      </c>
      <c r="E3" s="7"/>
    </row>
    <row r="4" spans="1:5" x14ac:dyDescent="0.25">
      <c r="A4" s="6" t="s">
        <v>42</v>
      </c>
      <c r="B4" s="8">
        <v>67180.5</v>
      </c>
      <c r="D4" s="6"/>
    </row>
    <row r="5" spans="1:5" x14ac:dyDescent="0.25">
      <c r="A5" s="6" t="s">
        <v>58</v>
      </c>
      <c r="B5" s="8">
        <v>50208.35</v>
      </c>
      <c r="D5" s="6"/>
    </row>
    <row r="6" spans="1:5" x14ac:dyDescent="0.25">
      <c r="A6" s="6" t="s">
        <v>115</v>
      </c>
      <c r="B6" s="8">
        <v>50145.330000000009</v>
      </c>
      <c r="D6" s="6"/>
    </row>
    <row r="7" spans="1:5" x14ac:dyDescent="0.25">
      <c r="A7" s="6" t="s">
        <v>92</v>
      </c>
      <c r="B7" s="8">
        <v>43713</v>
      </c>
      <c r="D7" s="6"/>
    </row>
    <row r="8" spans="1:5" x14ac:dyDescent="0.25">
      <c r="A8" s="6" t="s">
        <v>99</v>
      </c>
      <c r="B8" s="8">
        <v>41095.01</v>
      </c>
      <c r="D8" s="6"/>
    </row>
    <row r="9" spans="1:5" x14ac:dyDescent="0.25">
      <c r="A9" s="6" t="s">
        <v>154</v>
      </c>
      <c r="B9" s="8">
        <v>252342.19000000003</v>
      </c>
      <c r="D9" s="6"/>
    </row>
    <row r="10" spans="1:5" x14ac:dyDescent="0.25">
      <c r="D10" s="6"/>
    </row>
    <row r="11" spans="1:5" x14ac:dyDescent="0.25">
      <c r="D11" s="6"/>
    </row>
    <row r="12" spans="1:5" x14ac:dyDescent="0.25">
      <c r="D12" s="6"/>
    </row>
    <row r="13" spans="1:5" x14ac:dyDescent="0.25">
      <c r="D13" s="6"/>
    </row>
    <row r="14" spans="1:5" x14ac:dyDescent="0.25">
      <c r="D14" s="6"/>
    </row>
    <row r="15" spans="1:5" x14ac:dyDescent="0.25">
      <c r="D15" s="6"/>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225D6-B597-4BEB-898B-D9FECAE698C2}">
  <dimension ref="A3:E15"/>
  <sheetViews>
    <sheetView workbookViewId="0">
      <selection activeCell="M8" sqref="M8"/>
    </sheetView>
  </sheetViews>
  <sheetFormatPr defaultRowHeight="15" x14ac:dyDescent="0.25"/>
  <cols>
    <col min="1" max="1" width="13.140625" style="7" bestFit="1" customWidth="1"/>
    <col min="2" max="2" width="15.5703125" style="8" bestFit="1" customWidth="1"/>
    <col min="3" max="3" width="4.5703125" style="7" customWidth="1"/>
    <col min="4" max="4" width="9.140625" style="7"/>
    <col min="5" max="5" width="11.5703125" style="8" bestFit="1" customWidth="1"/>
    <col min="6" max="16384" width="9.140625" style="7"/>
  </cols>
  <sheetData>
    <row r="3" spans="1:5" x14ac:dyDescent="0.25">
      <c r="A3" s="5" t="s">
        <v>153</v>
      </c>
      <c r="B3" s="8" t="s">
        <v>155</v>
      </c>
      <c r="E3" s="7"/>
    </row>
    <row r="4" spans="1:5" x14ac:dyDescent="0.25">
      <c r="A4" s="6" t="s">
        <v>42</v>
      </c>
      <c r="B4" s="8">
        <v>67180.5</v>
      </c>
      <c r="D4" s="6"/>
    </row>
    <row r="5" spans="1:5" x14ac:dyDescent="0.25">
      <c r="A5" s="6" t="s">
        <v>58</v>
      </c>
      <c r="B5" s="8">
        <v>50208.35</v>
      </c>
      <c r="D5" s="6"/>
    </row>
    <row r="6" spans="1:5" x14ac:dyDescent="0.25">
      <c r="A6" s="6" t="s">
        <v>115</v>
      </c>
      <c r="B6" s="8">
        <v>50145.330000000009</v>
      </c>
      <c r="D6" s="6"/>
    </row>
    <row r="7" spans="1:5" x14ac:dyDescent="0.25">
      <c r="A7" s="6" t="s">
        <v>92</v>
      </c>
      <c r="B7" s="8">
        <v>43713</v>
      </c>
      <c r="D7" s="6"/>
    </row>
    <row r="8" spans="1:5" x14ac:dyDescent="0.25">
      <c r="A8" s="6" t="s">
        <v>99</v>
      </c>
      <c r="B8" s="8">
        <v>41095.01</v>
      </c>
      <c r="D8" s="6"/>
    </row>
    <row r="9" spans="1:5" x14ac:dyDescent="0.25">
      <c r="A9" s="6" t="s">
        <v>84</v>
      </c>
      <c r="B9" s="8">
        <v>37428</v>
      </c>
      <c r="D9" s="6"/>
    </row>
    <row r="10" spans="1:5" x14ac:dyDescent="0.25">
      <c r="A10" s="6" t="s">
        <v>154</v>
      </c>
      <c r="B10" s="8">
        <v>289770.19</v>
      </c>
      <c r="D10" s="6"/>
    </row>
    <row r="11" spans="1:5" x14ac:dyDescent="0.25">
      <c r="D11" s="6"/>
    </row>
    <row r="12" spans="1:5" x14ac:dyDescent="0.25">
      <c r="D12" s="6"/>
    </row>
    <row r="13" spans="1:5" x14ac:dyDescent="0.25">
      <c r="D13" s="6"/>
    </row>
    <row r="14" spans="1:5" x14ac:dyDescent="0.25">
      <c r="D14" s="6"/>
    </row>
    <row r="15" spans="1:5" x14ac:dyDescent="0.25">
      <c r="D15" s="6"/>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6263E-9CBA-4BDF-B136-B5D5D6256F3D}">
  <dimension ref="A1"/>
  <sheetViews>
    <sheetView showGridLines="0" showRowColHeaders="0" zoomScale="50" zoomScaleNormal="50" workbookViewId="0">
      <selection activeCell="AR48" sqref="AR48"/>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418E5-C25A-48A3-81E6-53450F75477D}">
  <dimension ref="A1"/>
  <sheetViews>
    <sheetView showGridLines="0" zoomScale="66" zoomScaleNormal="66" workbookViewId="0">
      <selection activeCell="M58" sqref="M58"/>
    </sheetView>
  </sheetViews>
  <sheetFormatPr defaultRowHeight="15" x14ac:dyDescent="0.25"/>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CEDA85D4-E9C2-4F08-8550-C56F951E2B39}">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7E7A7F8C-A185-424D-A55F-38EC29DBB495}">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007394FC-470C-4171-9739-9B35738A2CB0}">
  <ds:schemaRefs>
    <ds:schemaRef ds:uri="http://www.w3.org/2001/XMLSchema"/>
    <ds:schemaRef ds:uri="http://microsoft.data.visualization.Client.Excel.LState/1.0"/>
  </ds:schemaRefs>
</ds:datastoreItem>
</file>

<file path=customXml/itemProps4.xml><?xml version="1.0" encoding="utf-8"?>
<ds:datastoreItem xmlns:ds="http://schemas.openxmlformats.org/officeDocument/2006/customXml" ds:itemID="{6F119392-3125-4E2F-88FC-B5FC8D0A6576}">
  <ds:schemaRefs>
    <ds:schemaRef ds:uri="http://www.w3.org/2001/XMLSchema"/>
    <ds:schemaRef ds:uri="http://microsoft.data.visualization.engine.tours/1.0"/>
  </ds:schemaRefs>
</ds:datastoreItem>
</file>

<file path=customXml/itemProps5.xml><?xml version="1.0" encoding="utf-8"?>
<ds:datastoreItem xmlns:ds="http://schemas.openxmlformats.org/officeDocument/2006/customXml" ds:itemID="{6D1C7539-8157-4C5B-A072-D6A44DED3FB6}">
  <ds:schemaRefs>
    <ds:schemaRef ds:uri="http://www.w3.org/2001/XMLSchema"/>
    <ds:schemaRef ds:uri="http://microsoft.data.visualization.Client.Excel.P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vt:lpstr>
      <vt:lpstr>Pre-Analysis Board</vt:lpstr>
      <vt:lpstr>In-Analysis Board</vt:lpstr>
      <vt:lpstr>Sales Performance by Sales Reps</vt:lpstr>
      <vt:lpstr>Sales Performance by Region</vt:lpstr>
      <vt:lpstr>Top Five Customers</vt:lpstr>
      <vt:lpstr>Sales Trend Report</vt:lpstr>
      <vt:lpstr>Sales by Product Category</vt:lpstr>
      <vt:lpstr>Transaction by Amount</vt:lpstr>
      <vt:lpstr>Performance by State</vt:lpstr>
      <vt:lpstr>Top 5 cities by Revenue</vt:lpstr>
      <vt:lpstr>Top 6 Ship Cities by Revenue</vt:lpstr>
      <vt:lpstr>Dashboard</vt:lpstr>
      <vt:lpstr>Post Analysis Board</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Adaobi Okonkwo</cp:lastModifiedBy>
  <dcterms:created xsi:type="dcterms:W3CDTF">2015-01-21T18:43:03Z</dcterms:created>
  <dcterms:modified xsi:type="dcterms:W3CDTF">2025-12-06T19:21:27Z</dcterms:modified>
</cp:coreProperties>
</file>